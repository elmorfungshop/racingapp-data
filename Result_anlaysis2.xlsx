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nnie\Desktop\racingapp\"/>
    </mc:Choice>
  </mc:AlternateContent>
  <xr:revisionPtr revIDLastSave="0" documentId="13_ncr:1_{9B45DEF7-68BD-43A2-B1CB-99A6BE6DD97C}" xr6:coauthVersionLast="47" xr6:coauthVersionMax="47" xr10:uidLastSave="{00000000-0000-0000-0000-000000000000}"/>
  <bookViews>
    <workbookView xWindow="-120" yWindow="-120" windowWidth="51840" windowHeight="21120" activeTab="1" xr2:uid="{BB2B1170-6A8F-4D14-9AE1-43352491E85D}"/>
  </bookViews>
  <sheets>
    <sheet name="工作表1" sheetId="1" r:id="rId1"/>
    <sheet name="工作表2" sheetId="2" r:id="rId2"/>
  </sheets>
  <definedNames>
    <definedName name="_xlnm._FilterDatabase" localSheetId="1" hidden="1">工作表2!$A$81:$L$92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6" i="2" l="1"/>
  <c r="AD217" i="2"/>
  <c r="AD218" i="2"/>
  <c r="AD219" i="2"/>
  <c r="AD220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176" i="2"/>
  <c r="Y17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X7" i="2"/>
  <c r="CY7" i="2"/>
  <c r="CZ7" i="2"/>
  <c r="DA7" i="2"/>
  <c r="DB7" i="2"/>
  <c r="DC7" i="2"/>
  <c r="DD7" i="2"/>
  <c r="DE7" i="2"/>
  <c r="DF7" i="2"/>
  <c r="DG7" i="2"/>
  <c r="DH7" i="2"/>
  <c r="DI7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DB8" i="2"/>
  <c r="DC8" i="2"/>
  <c r="DD8" i="2"/>
  <c r="DE8" i="2"/>
  <c r="DF8" i="2"/>
  <c r="DG8" i="2"/>
  <c r="DH8" i="2"/>
  <c r="DI8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CY20" i="2"/>
  <c r="CZ20" i="2"/>
  <c r="DA20" i="2"/>
  <c r="DB20" i="2"/>
  <c r="DC20" i="2"/>
  <c r="DD20" i="2"/>
  <c r="DE20" i="2"/>
  <c r="DF20" i="2"/>
  <c r="DG20" i="2"/>
  <c r="DH20" i="2"/>
  <c r="DI20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CZ21" i="2"/>
  <c r="DA21" i="2"/>
  <c r="DB21" i="2"/>
  <c r="DC21" i="2"/>
  <c r="DD21" i="2"/>
  <c r="DE21" i="2"/>
  <c r="DF21" i="2"/>
  <c r="DG21" i="2"/>
  <c r="DH21" i="2"/>
  <c r="DI21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E22" i="2"/>
  <c r="DF22" i="2"/>
  <c r="DG22" i="2"/>
  <c r="DH22" i="2"/>
  <c r="DI22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CZ23" i="2"/>
  <c r="DA23" i="2"/>
  <c r="DB23" i="2"/>
  <c r="DC23" i="2"/>
  <c r="DD23" i="2"/>
  <c r="DE23" i="2"/>
  <c r="DF23" i="2"/>
  <c r="DG23" i="2"/>
  <c r="DH23" i="2"/>
  <c r="DI23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CY35" i="2"/>
  <c r="CZ35" i="2"/>
  <c r="DA35" i="2"/>
  <c r="DB35" i="2"/>
  <c r="DC35" i="2"/>
  <c r="DD35" i="2"/>
  <c r="DE35" i="2"/>
  <c r="DF35" i="2"/>
  <c r="DG35" i="2"/>
  <c r="DH35" i="2"/>
  <c r="DI35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CW36" i="2"/>
  <c r="CX36" i="2"/>
  <c r="CY36" i="2"/>
  <c r="CZ36" i="2"/>
  <c r="DA36" i="2"/>
  <c r="DB36" i="2"/>
  <c r="DC36" i="2"/>
  <c r="DD36" i="2"/>
  <c r="DE36" i="2"/>
  <c r="DF36" i="2"/>
  <c r="DG36" i="2"/>
  <c r="DH36" i="2"/>
  <c r="DI36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CY37" i="2"/>
  <c r="CZ37" i="2"/>
  <c r="DA37" i="2"/>
  <c r="DB37" i="2"/>
  <c r="DC37" i="2"/>
  <c r="DD37" i="2"/>
  <c r="DE37" i="2"/>
  <c r="DF37" i="2"/>
  <c r="DG37" i="2"/>
  <c r="DH37" i="2"/>
  <c r="DI37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CW38" i="2"/>
  <c r="CX38" i="2"/>
  <c r="CY38" i="2"/>
  <c r="CZ38" i="2"/>
  <c r="DA38" i="2"/>
  <c r="DB38" i="2"/>
  <c r="DC38" i="2"/>
  <c r="DD38" i="2"/>
  <c r="DE38" i="2"/>
  <c r="DF38" i="2"/>
  <c r="DG38" i="2"/>
  <c r="DH38" i="2"/>
  <c r="DI38" i="2"/>
  <c r="BQ51" i="2"/>
  <c r="BR51" i="2"/>
  <c r="BS51" i="2"/>
  <c r="BT51" i="2"/>
  <c r="BU51" i="2"/>
  <c r="BV51" i="2"/>
  <c r="BW51" i="2"/>
  <c r="BX51" i="2"/>
  <c r="BY51" i="2"/>
  <c r="BZ51" i="2"/>
  <c r="CA51" i="2"/>
  <c r="CB51" i="2"/>
  <c r="CC51" i="2"/>
  <c r="CD51" i="2"/>
  <c r="CE51" i="2"/>
  <c r="CF51" i="2"/>
  <c r="CG51" i="2"/>
  <c r="CH51" i="2"/>
  <c r="CI51" i="2"/>
  <c r="CJ51" i="2"/>
  <c r="CK51" i="2"/>
  <c r="CL51" i="2"/>
  <c r="CM51" i="2"/>
  <c r="CN51" i="2"/>
  <c r="CO51" i="2"/>
  <c r="CP51" i="2"/>
  <c r="CQ51" i="2"/>
  <c r="CR51" i="2"/>
  <c r="CS51" i="2"/>
  <c r="CT51" i="2"/>
  <c r="CU51" i="2"/>
  <c r="CV51" i="2"/>
  <c r="CW51" i="2"/>
  <c r="CX51" i="2"/>
  <c r="CY51" i="2"/>
  <c r="CZ51" i="2"/>
  <c r="DA51" i="2"/>
  <c r="DB51" i="2"/>
  <c r="DC51" i="2"/>
  <c r="DD51" i="2"/>
  <c r="DE51" i="2"/>
  <c r="DF51" i="2"/>
  <c r="DG51" i="2"/>
  <c r="DH51" i="2"/>
  <c r="DI51" i="2"/>
  <c r="BQ52" i="2"/>
  <c r="BR52" i="2"/>
  <c r="BS52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CG52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CX52" i="2"/>
  <c r="CY52" i="2"/>
  <c r="CZ52" i="2"/>
  <c r="DA52" i="2"/>
  <c r="DB52" i="2"/>
  <c r="DC52" i="2"/>
  <c r="DD52" i="2"/>
  <c r="DE52" i="2"/>
  <c r="DF52" i="2"/>
  <c r="DG52" i="2"/>
  <c r="DH52" i="2"/>
  <c r="DI52" i="2"/>
  <c r="BQ53" i="2"/>
  <c r="BR53" i="2"/>
  <c r="BS53" i="2"/>
  <c r="BT53" i="2"/>
  <c r="BU53" i="2"/>
  <c r="BV53" i="2"/>
  <c r="BW53" i="2"/>
  <c r="BX53" i="2"/>
  <c r="BY53" i="2"/>
  <c r="BZ53" i="2"/>
  <c r="CA53" i="2"/>
  <c r="CB53" i="2"/>
  <c r="CC53" i="2"/>
  <c r="CD53" i="2"/>
  <c r="CE53" i="2"/>
  <c r="CF53" i="2"/>
  <c r="CG53" i="2"/>
  <c r="CH53" i="2"/>
  <c r="CI53" i="2"/>
  <c r="CJ53" i="2"/>
  <c r="CK53" i="2"/>
  <c r="CL53" i="2"/>
  <c r="CM53" i="2"/>
  <c r="CN53" i="2"/>
  <c r="CO53" i="2"/>
  <c r="CP53" i="2"/>
  <c r="CQ53" i="2"/>
  <c r="CR53" i="2"/>
  <c r="CS53" i="2"/>
  <c r="CT53" i="2"/>
  <c r="CU53" i="2"/>
  <c r="CV53" i="2"/>
  <c r="CW53" i="2"/>
  <c r="CX53" i="2"/>
  <c r="CY53" i="2"/>
  <c r="CZ53" i="2"/>
  <c r="DA53" i="2"/>
  <c r="DB53" i="2"/>
  <c r="DC53" i="2"/>
  <c r="DD53" i="2"/>
  <c r="DE53" i="2"/>
  <c r="DF53" i="2"/>
  <c r="DG53" i="2"/>
  <c r="DH53" i="2"/>
  <c r="DI53" i="2"/>
  <c r="BQ54" i="2"/>
  <c r="BR54" i="2"/>
  <c r="BS54" i="2"/>
  <c r="BT54" i="2"/>
  <c r="BU54" i="2"/>
  <c r="BV54" i="2"/>
  <c r="BW54" i="2"/>
  <c r="BX54" i="2"/>
  <c r="BY54" i="2"/>
  <c r="BZ54" i="2"/>
  <c r="CA54" i="2"/>
  <c r="CB54" i="2"/>
  <c r="CC54" i="2"/>
  <c r="CD54" i="2"/>
  <c r="CE54" i="2"/>
  <c r="CF54" i="2"/>
  <c r="CG54" i="2"/>
  <c r="CH54" i="2"/>
  <c r="CI54" i="2"/>
  <c r="CJ54" i="2"/>
  <c r="CK54" i="2"/>
  <c r="CL54" i="2"/>
  <c r="CM54" i="2"/>
  <c r="CN54" i="2"/>
  <c r="CO54" i="2"/>
  <c r="CP54" i="2"/>
  <c r="CQ54" i="2"/>
  <c r="CR54" i="2"/>
  <c r="CS54" i="2"/>
  <c r="CT54" i="2"/>
  <c r="CU54" i="2"/>
  <c r="CV54" i="2"/>
  <c r="CW54" i="2"/>
  <c r="CX54" i="2"/>
  <c r="CY54" i="2"/>
  <c r="CZ54" i="2"/>
  <c r="DA54" i="2"/>
  <c r="DB54" i="2"/>
  <c r="DC54" i="2"/>
  <c r="DD54" i="2"/>
  <c r="DE54" i="2"/>
  <c r="DF54" i="2"/>
  <c r="DG54" i="2"/>
  <c r="DH54" i="2"/>
  <c r="DI54" i="2"/>
  <c r="BQ66" i="2"/>
  <c r="BR66" i="2"/>
  <c r="BS66" i="2"/>
  <c r="BT66" i="2"/>
  <c r="BU66" i="2"/>
  <c r="BV66" i="2"/>
  <c r="BW66" i="2"/>
  <c r="BX66" i="2"/>
  <c r="BY66" i="2"/>
  <c r="BZ66" i="2"/>
  <c r="CA66" i="2"/>
  <c r="CB66" i="2"/>
  <c r="CC66" i="2"/>
  <c r="CD66" i="2"/>
  <c r="CE66" i="2"/>
  <c r="CF66" i="2"/>
  <c r="CG66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CX66" i="2"/>
  <c r="CY66" i="2"/>
  <c r="CZ66" i="2"/>
  <c r="DA66" i="2"/>
  <c r="DB66" i="2"/>
  <c r="DC66" i="2"/>
  <c r="DD66" i="2"/>
  <c r="DE66" i="2"/>
  <c r="DF66" i="2"/>
  <c r="DG66" i="2"/>
  <c r="DH66" i="2"/>
  <c r="DI66" i="2"/>
  <c r="BQ67" i="2"/>
  <c r="BR67" i="2"/>
  <c r="BS67" i="2"/>
  <c r="BT67" i="2"/>
  <c r="BU67" i="2"/>
  <c r="BV67" i="2"/>
  <c r="BW67" i="2"/>
  <c r="BX67" i="2"/>
  <c r="BY67" i="2"/>
  <c r="BZ67" i="2"/>
  <c r="CA67" i="2"/>
  <c r="CB67" i="2"/>
  <c r="CC67" i="2"/>
  <c r="CD67" i="2"/>
  <c r="CE67" i="2"/>
  <c r="CF67" i="2"/>
  <c r="CG67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CX67" i="2"/>
  <c r="CY67" i="2"/>
  <c r="CZ67" i="2"/>
  <c r="DA67" i="2"/>
  <c r="DB67" i="2"/>
  <c r="DC67" i="2"/>
  <c r="DD67" i="2"/>
  <c r="DE67" i="2"/>
  <c r="DF67" i="2"/>
  <c r="DG67" i="2"/>
  <c r="DH67" i="2"/>
  <c r="DI67" i="2"/>
  <c r="BQ68" i="2"/>
  <c r="BR68" i="2"/>
  <c r="BS68" i="2"/>
  <c r="BT68" i="2"/>
  <c r="BU68" i="2"/>
  <c r="BV68" i="2"/>
  <c r="BW68" i="2"/>
  <c r="BX68" i="2"/>
  <c r="BY68" i="2"/>
  <c r="BZ68" i="2"/>
  <c r="CA68" i="2"/>
  <c r="CB68" i="2"/>
  <c r="CC68" i="2"/>
  <c r="CD68" i="2"/>
  <c r="CE68" i="2"/>
  <c r="CF68" i="2"/>
  <c r="CG68" i="2"/>
  <c r="CH68" i="2"/>
  <c r="CI68" i="2"/>
  <c r="CJ68" i="2"/>
  <c r="CK68" i="2"/>
  <c r="CL68" i="2"/>
  <c r="CM68" i="2"/>
  <c r="CN68" i="2"/>
  <c r="CO68" i="2"/>
  <c r="CP68" i="2"/>
  <c r="CQ68" i="2"/>
  <c r="CR68" i="2"/>
  <c r="CS68" i="2"/>
  <c r="CT68" i="2"/>
  <c r="CU68" i="2"/>
  <c r="CV68" i="2"/>
  <c r="CW68" i="2"/>
  <c r="CX68" i="2"/>
  <c r="CY68" i="2"/>
  <c r="CZ68" i="2"/>
  <c r="DA68" i="2"/>
  <c r="DB68" i="2"/>
  <c r="DC68" i="2"/>
  <c r="DD68" i="2"/>
  <c r="DE68" i="2"/>
  <c r="DF68" i="2"/>
  <c r="DG68" i="2"/>
  <c r="DH68" i="2"/>
  <c r="DI68" i="2"/>
  <c r="BQ69" i="2"/>
  <c r="BR69" i="2"/>
  <c r="BS69" i="2"/>
  <c r="BT69" i="2"/>
  <c r="BU69" i="2"/>
  <c r="BV69" i="2"/>
  <c r="BW69" i="2"/>
  <c r="BX69" i="2"/>
  <c r="BY69" i="2"/>
  <c r="BZ69" i="2"/>
  <c r="CA69" i="2"/>
  <c r="CB69" i="2"/>
  <c r="CC69" i="2"/>
  <c r="CD69" i="2"/>
  <c r="CE69" i="2"/>
  <c r="CF69" i="2"/>
  <c r="CG69" i="2"/>
  <c r="CH69" i="2"/>
  <c r="CI69" i="2"/>
  <c r="CJ69" i="2"/>
  <c r="CK69" i="2"/>
  <c r="CL69" i="2"/>
  <c r="CM69" i="2"/>
  <c r="CN69" i="2"/>
  <c r="CO69" i="2"/>
  <c r="CP69" i="2"/>
  <c r="CQ69" i="2"/>
  <c r="CR69" i="2"/>
  <c r="CS69" i="2"/>
  <c r="CT69" i="2"/>
  <c r="CU69" i="2"/>
  <c r="CV69" i="2"/>
  <c r="CW69" i="2"/>
  <c r="CX69" i="2"/>
  <c r="CY69" i="2"/>
  <c r="CZ69" i="2"/>
  <c r="DA69" i="2"/>
  <c r="DB69" i="2"/>
  <c r="DC69" i="2"/>
  <c r="DD69" i="2"/>
  <c r="DE69" i="2"/>
  <c r="DF69" i="2"/>
  <c r="DG69" i="2"/>
  <c r="DH69" i="2"/>
  <c r="DI69" i="2"/>
  <c r="BQ81" i="2"/>
  <c r="BR81" i="2"/>
  <c r="BS81" i="2"/>
  <c r="BT81" i="2"/>
  <c r="BU81" i="2"/>
  <c r="BV81" i="2"/>
  <c r="BW81" i="2"/>
  <c r="BX81" i="2"/>
  <c r="BY81" i="2"/>
  <c r="BZ81" i="2"/>
  <c r="CA81" i="2"/>
  <c r="CB81" i="2"/>
  <c r="CC81" i="2"/>
  <c r="CD81" i="2"/>
  <c r="CE81" i="2"/>
  <c r="CF81" i="2"/>
  <c r="CG81" i="2"/>
  <c r="CH81" i="2"/>
  <c r="CI81" i="2"/>
  <c r="CJ81" i="2"/>
  <c r="CK81" i="2"/>
  <c r="CL81" i="2"/>
  <c r="CM81" i="2"/>
  <c r="CN81" i="2"/>
  <c r="CO81" i="2"/>
  <c r="CP81" i="2"/>
  <c r="CQ81" i="2"/>
  <c r="CR81" i="2"/>
  <c r="CS81" i="2"/>
  <c r="CT81" i="2"/>
  <c r="CU81" i="2"/>
  <c r="CV81" i="2"/>
  <c r="CW81" i="2"/>
  <c r="CX81" i="2"/>
  <c r="CY81" i="2"/>
  <c r="CZ81" i="2"/>
  <c r="DA81" i="2"/>
  <c r="DB81" i="2"/>
  <c r="DC81" i="2"/>
  <c r="DD81" i="2"/>
  <c r="DE81" i="2"/>
  <c r="DF81" i="2"/>
  <c r="DG81" i="2"/>
  <c r="DH81" i="2"/>
  <c r="DI81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CK82" i="2"/>
  <c r="CL82" i="2"/>
  <c r="CM82" i="2"/>
  <c r="CN82" i="2"/>
  <c r="CO82" i="2"/>
  <c r="CP82" i="2"/>
  <c r="CQ82" i="2"/>
  <c r="CR82" i="2"/>
  <c r="CS82" i="2"/>
  <c r="CT82" i="2"/>
  <c r="CU82" i="2"/>
  <c r="CV82" i="2"/>
  <c r="CW82" i="2"/>
  <c r="CX82" i="2"/>
  <c r="CY82" i="2"/>
  <c r="CZ82" i="2"/>
  <c r="DA82" i="2"/>
  <c r="DB82" i="2"/>
  <c r="DC82" i="2"/>
  <c r="DD82" i="2"/>
  <c r="DE82" i="2"/>
  <c r="DF82" i="2"/>
  <c r="DG82" i="2"/>
  <c r="DH82" i="2"/>
  <c r="DI82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CH83" i="2"/>
  <c r="CI83" i="2"/>
  <c r="CJ83" i="2"/>
  <c r="CK83" i="2"/>
  <c r="CL83" i="2"/>
  <c r="CM83" i="2"/>
  <c r="CN83" i="2"/>
  <c r="CO83" i="2"/>
  <c r="CP83" i="2"/>
  <c r="CQ83" i="2"/>
  <c r="CR83" i="2"/>
  <c r="CS83" i="2"/>
  <c r="CT83" i="2"/>
  <c r="CU83" i="2"/>
  <c r="CV83" i="2"/>
  <c r="CW83" i="2"/>
  <c r="CX83" i="2"/>
  <c r="CY83" i="2"/>
  <c r="CZ83" i="2"/>
  <c r="DA83" i="2"/>
  <c r="DB83" i="2"/>
  <c r="DC83" i="2"/>
  <c r="DD83" i="2"/>
  <c r="DE83" i="2"/>
  <c r="DF83" i="2"/>
  <c r="DG83" i="2"/>
  <c r="DH83" i="2"/>
  <c r="DI83" i="2"/>
  <c r="BQ84" i="2"/>
  <c r="BR84" i="2"/>
  <c r="BS84" i="2"/>
  <c r="BT84" i="2"/>
  <c r="BU84" i="2"/>
  <c r="BV84" i="2"/>
  <c r="BW84" i="2"/>
  <c r="BX84" i="2"/>
  <c r="BY84" i="2"/>
  <c r="BZ84" i="2"/>
  <c r="CA84" i="2"/>
  <c r="CB84" i="2"/>
  <c r="CC84" i="2"/>
  <c r="CD84" i="2"/>
  <c r="CE84" i="2"/>
  <c r="CF84" i="2"/>
  <c r="CG84" i="2"/>
  <c r="CH84" i="2"/>
  <c r="CI84" i="2"/>
  <c r="CJ84" i="2"/>
  <c r="CK84" i="2"/>
  <c r="CL84" i="2"/>
  <c r="CM84" i="2"/>
  <c r="CN84" i="2"/>
  <c r="CO84" i="2"/>
  <c r="CP84" i="2"/>
  <c r="CQ84" i="2"/>
  <c r="CR84" i="2"/>
  <c r="CS84" i="2"/>
  <c r="CT84" i="2"/>
  <c r="CU84" i="2"/>
  <c r="CV84" i="2"/>
  <c r="CW84" i="2"/>
  <c r="CX84" i="2"/>
  <c r="CY84" i="2"/>
  <c r="CZ84" i="2"/>
  <c r="DA84" i="2"/>
  <c r="DB84" i="2"/>
  <c r="DC84" i="2"/>
  <c r="DD84" i="2"/>
  <c r="DE84" i="2"/>
  <c r="DF84" i="2"/>
  <c r="DG84" i="2"/>
  <c r="DH84" i="2"/>
  <c r="DI84" i="2"/>
  <c r="BQ96" i="2"/>
  <c r="BR96" i="2"/>
  <c r="BS96" i="2"/>
  <c r="BT96" i="2"/>
  <c r="BU96" i="2"/>
  <c r="BV96" i="2"/>
  <c r="BW96" i="2"/>
  <c r="BX96" i="2"/>
  <c r="BY96" i="2"/>
  <c r="BZ96" i="2"/>
  <c r="CA96" i="2"/>
  <c r="CB96" i="2"/>
  <c r="CC96" i="2"/>
  <c r="CD96" i="2"/>
  <c r="CE96" i="2"/>
  <c r="CF96" i="2"/>
  <c r="CG96" i="2"/>
  <c r="CH96" i="2"/>
  <c r="CI96" i="2"/>
  <c r="CJ96" i="2"/>
  <c r="CK96" i="2"/>
  <c r="CL96" i="2"/>
  <c r="CM96" i="2"/>
  <c r="CN96" i="2"/>
  <c r="CO96" i="2"/>
  <c r="CP96" i="2"/>
  <c r="CQ96" i="2"/>
  <c r="CR96" i="2"/>
  <c r="CS96" i="2"/>
  <c r="CT96" i="2"/>
  <c r="CU96" i="2"/>
  <c r="CV96" i="2"/>
  <c r="CW96" i="2"/>
  <c r="CX96" i="2"/>
  <c r="CY96" i="2"/>
  <c r="CZ96" i="2"/>
  <c r="DA96" i="2"/>
  <c r="DB96" i="2"/>
  <c r="DC96" i="2"/>
  <c r="DD96" i="2"/>
  <c r="DE96" i="2"/>
  <c r="DF96" i="2"/>
  <c r="DG96" i="2"/>
  <c r="DH96" i="2"/>
  <c r="DI96" i="2"/>
  <c r="BQ97" i="2"/>
  <c r="BR97" i="2"/>
  <c r="BS97" i="2"/>
  <c r="BT97" i="2"/>
  <c r="BU97" i="2"/>
  <c r="BV97" i="2"/>
  <c r="BW97" i="2"/>
  <c r="BX97" i="2"/>
  <c r="BY97" i="2"/>
  <c r="BZ97" i="2"/>
  <c r="CA97" i="2"/>
  <c r="CB97" i="2"/>
  <c r="CC97" i="2"/>
  <c r="CD97" i="2"/>
  <c r="CE97" i="2"/>
  <c r="CF97" i="2"/>
  <c r="CG97" i="2"/>
  <c r="CH97" i="2"/>
  <c r="CI97" i="2"/>
  <c r="CJ97" i="2"/>
  <c r="CK97" i="2"/>
  <c r="CL97" i="2"/>
  <c r="CM97" i="2"/>
  <c r="CN97" i="2"/>
  <c r="CO97" i="2"/>
  <c r="CP97" i="2"/>
  <c r="CQ97" i="2"/>
  <c r="CR97" i="2"/>
  <c r="CS97" i="2"/>
  <c r="CT97" i="2"/>
  <c r="CU97" i="2"/>
  <c r="CV97" i="2"/>
  <c r="CW97" i="2"/>
  <c r="CX97" i="2"/>
  <c r="CY97" i="2"/>
  <c r="CZ97" i="2"/>
  <c r="DA97" i="2"/>
  <c r="DB97" i="2"/>
  <c r="DC97" i="2"/>
  <c r="DD97" i="2"/>
  <c r="DE97" i="2"/>
  <c r="DF97" i="2"/>
  <c r="DG97" i="2"/>
  <c r="DH97" i="2"/>
  <c r="DI97" i="2"/>
  <c r="BQ98" i="2"/>
  <c r="BR98" i="2"/>
  <c r="BS98" i="2"/>
  <c r="BT98" i="2"/>
  <c r="BU98" i="2"/>
  <c r="BV98" i="2"/>
  <c r="BW98" i="2"/>
  <c r="BX98" i="2"/>
  <c r="BY98" i="2"/>
  <c r="BZ98" i="2"/>
  <c r="CA98" i="2"/>
  <c r="CB98" i="2"/>
  <c r="CC98" i="2"/>
  <c r="CD98" i="2"/>
  <c r="CE98" i="2"/>
  <c r="CF98" i="2"/>
  <c r="CG98" i="2"/>
  <c r="CH98" i="2"/>
  <c r="CI98" i="2"/>
  <c r="CJ98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CX98" i="2"/>
  <c r="CY98" i="2"/>
  <c r="CZ98" i="2"/>
  <c r="DA98" i="2"/>
  <c r="DB98" i="2"/>
  <c r="DC98" i="2"/>
  <c r="DD98" i="2"/>
  <c r="DE98" i="2"/>
  <c r="DF98" i="2"/>
  <c r="DG98" i="2"/>
  <c r="DH98" i="2"/>
  <c r="DI98" i="2"/>
  <c r="BQ99" i="2"/>
  <c r="BR99" i="2"/>
  <c r="BS99" i="2"/>
  <c r="BT99" i="2"/>
  <c r="BU99" i="2"/>
  <c r="BV99" i="2"/>
  <c r="BW99" i="2"/>
  <c r="BX99" i="2"/>
  <c r="BY99" i="2"/>
  <c r="BZ99" i="2"/>
  <c r="CA99" i="2"/>
  <c r="CB99" i="2"/>
  <c r="CC99" i="2"/>
  <c r="CD99" i="2"/>
  <c r="CE99" i="2"/>
  <c r="CF99" i="2"/>
  <c r="CG99" i="2"/>
  <c r="CH99" i="2"/>
  <c r="CI99" i="2"/>
  <c r="CJ99" i="2"/>
  <c r="CK99" i="2"/>
  <c r="CL99" i="2"/>
  <c r="CM99" i="2"/>
  <c r="CN99" i="2"/>
  <c r="CO99" i="2"/>
  <c r="CP99" i="2"/>
  <c r="CQ99" i="2"/>
  <c r="CR99" i="2"/>
  <c r="CS99" i="2"/>
  <c r="CT99" i="2"/>
  <c r="CU99" i="2"/>
  <c r="CV99" i="2"/>
  <c r="CW99" i="2"/>
  <c r="CX99" i="2"/>
  <c r="CY99" i="2"/>
  <c r="CZ99" i="2"/>
  <c r="DA99" i="2"/>
  <c r="DB99" i="2"/>
  <c r="DC99" i="2"/>
  <c r="DD99" i="2"/>
  <c r="DE99" i="2"/>
  <c r="DF99" i="2"/>
  <c r="DG99" i="2"/>
  <c r="DH99" i="2"/>
  <c r="DI99" i="2"/>
  <c r="BQ111" i="2"/>
  <c r="BR111" i="2"/>
  <c r="BS111" i="2"/>
  <c r="BT111" i="2"/>
  <c r="BU111" i="2"/>
  <c r="BV111" i="2"/>
  <c r="BW111" i="2"/>
  <c r="BX111" i="2"/>
  <c r="BY111" i="2"/>
  <c r="BZ111" i="2"/>
  <c r="CA111" i="2"/>
  <c r="CB111" i="2"/>
  <c r="CC111" i="2"/>
  <c r="CD111" i="2"/>
  <c r="CE111" i="2"/>
  <c r="CF111" i="2"/>
  <c r="CG111" i="2"/>
  <c r="CH111" i="2"/>
  <c r="CI111" i="2"/>
  <c r="CJ111" i="2"/>
  <c r="CK111" i="2"/>
  <c r="CL111" i="2"/>
  <c r="CM111" i="2"/>
  <c r="CN111" i="2"/>
  <c r="CO111" i="2"/>
  <c r="CP111" i="2"/>
  <c r="CQ111" i="2"/>
  <c r="CR111" i="2"/>
  <c r="CS111" i="2"/>
  <c r="CT111" i="2"/>
  <c r="CU111" i="2"/>
  <c r="CV111" i="2"/>
  <c r="CW111" i="2"/>
  <c r="CX111" i="2"/>
  <c r="CY111" i="2"/>
  <c r="CZ111" i="2"/>
  <c r="DA111" i="2"/>
  <c r="DB111" i="2"/>
  <c r="DC111" i="2"/>
  <c r="DD111" i="2"/>
  <c r="DE111" i="2"/>
  <c r="DF111" i="2"/>
  <c r="DG111" i="2"/>
  <c r="DH111" i="2"/>
  <c r="DI111" i="2"/>
  <c r="BQ112" i="2"/>
  <c r="BR112" i="2"/>
  <c r="BS112" i="2"/>
  <c r="BT112" i="2"/>
  <c r="BU112" i="2"/>
  <c r="BV112" i="2"/>
  <c r="BW112" i="2"/>
  <c r="BX112" i="2"/>
  <c r="BY112" i="2"/>
  <c r="BZ112" i="2"/>
  <c r="CA112" i="2"/>
  <c r="CB112" i="2"/>
  <c r="CC112" i="2"/>
  <c r="CD112" i="2"/>
  <c r="CE112" i="2"/>
  <c r="CF112" i="2"/>
  <c r="CG112" i="2"/>
  <c r="CH112" i="2"/>
  <c r="CI112" i="2"/>
  <c r="CJ112" i="2"/>
  <c r="CK112" i="2"/>
  <c r="CL112" i="2"/>
  <c r="CM112" i="2"/>
  <c r="CN112" i="2"/>
  <c r="CO112" i="2"/>
  <c r="CP112" i="2"/>
  <c r="CQ112" i="2"/>
  <c r="CR112" i="2"/>
  <c r="CS112" i="2"/>
  <c r="CT112" i="2"/>
  <c r="CU112" i="2"/>
  <c r="CV112" i="2"/>
  <c r="CW112" i="2"/>
  <c r="CX112" i="2"/>
  <c r="CY112" i="2"/>
  <c r="CZ112" i="2"/>
  <c r="DA112" i="2"/>
  <c r="DB112" i="2"/>
  <c r="DC112" i="2"/>
  <c r="DD112" i="2"/>
  <c r="DE112" i="2"/>
  <c r="DF112" i="2"/>
  <c r="DG112" i="2"/>
  <c r="DH112" i="2"/>
  <c r="DI112" i="2"/>
  <c r="BQ113" i="2"/>
  <c r="BR113" i="2"/>
  <c r="BS113" i="2"/>
  <c r="BT113" i="2"/>
  <c r="BU113" i="2"/>
  <c r="BV113" i="2"/>
  <c r="BW113" i="2"/>
  <c r="BX113" i="2"/>
  <c r="BY113" i="2"/>
  <c r="BZ113" i="2"/>
  <c r="CA113" i="2"/>
  <c r="CB113" i="2"/>
  <c r="CC113" i="2"/>
  <c r="CD113" i="2"/>
  <c r="CE113" i="2"/>
  <c r="CF113" i="2"/>
  <c r="CG113" i="2"/>
  <c r="CH113" i="2"/>
  <c r="CI113" i="2"/>
  <c r="CJ113" i="2"/>
  <c r="CK113" i="2"/>
  <c r="CL113" i="2"/>
  <c r="CM113" i="2"/>
  <c r="CN113" i="2"/>
  <c r="CO113" i="2"/>
  <c r="CP113" i="2"/>
  <c r="CQ113" i="2"/>
  <c r="CR113" i="2"/>
  <c r="CS113" i="2"/>
  <c r="CT113" i="2"/>
  <c r="CU113" i="2"/>
  <c r="CV113" i="2"/>
  <c r="CW113" i="2"/>
  <c r="CX113" i="2"/>
  <c r="CY113" i="2"/>
  <c r="CZ113" i="2"/>
  <c r="DA113" i="2"/>
  <c r="DB113" i="2"/>
  <c r="DC113" i="2"/>
  <c r="DD113" i="2"/>
  <c r="DE113" i="2"/>
  <c r="DF113" i="2"/>
  <c r="DG113" i="2"/>
  <c r="DH113" i="2"/>
  <c r="DI113" i="2"/>
  <c r="BQ114" i="2"/>
  <c r="BR114" i="2"/>
  <c r="BS114" i="2"/>
  <c r="BT114" i="2"/>
  <c r="BU114" i="2"/>
  <c r="BV114" i="2"/>
  <c r="BW114" i="2"/>
  <c r="BX114" i="2"/>
  <c r="BY114" i="2"/>
  <c r="BZ114" i="2"/>
  <c r="CA114" i="2"/>
  <c r="CB114" i="2"/>
  <c r="CC114" i="2"/>
  <c r="CD114" i="2"/>
  <c r="CE114" i="2"/>
  <c r="CF114" i="2"/>
  <c r="CG114" i="2"/>
  <c r="CH114" i="2"/>
  <c r="CI114" i="2"/>
  <c r="CJ114" i="2"/>
  <c r="CK114" i="2"/>
  <c r="CL114" i="2"/>
  <c r="CM114" i="2"/>
  <c r="CN114" i="2"/>
  <c r="CO114" i="2"/>
  <c r="CP114" i="2"/>
  <c r="CQ114" i="2"/>
  <c r="CR114" i="2"/>
  <c r="CS114" i="2"/>
  <c r="CT114" i="2"/>
  <c r="CU114" i="2"/>
  <c r="CV114" i="2"/>
  <c r="CW114" i="2"/>
  <c r="CX114" i="2"/>
  <c r="CY114" i="2"/>
  <c r="CZ114" i="2"/>
  <c r="DA114" i="2"/>
  <c r="DB114" i="2"/>
  <c r="DC114" i="2"/>
  <c r="DD114" i="2"/>
  <c r="DE114" i="2"/>
  <c r="DF114" i="2"/>
  <c r="DG114" i="2"/>
  <c r="DH114" i="2"/>
  <c r="DI114" i="2"/>
  <c r="BQ126" i="2"/>
  <c r="BR126" i="2"/>
  <c r="BS126" i="2"/>
  <c r="BT126" i="2"/>
  <c r="BU126" i="2"/>
  <c r="BV126" i="2"/>
  <c r="BW126" i="2"/>
  <c r="BX126" i="2"/>
  <c r="BY126" i="2"/>
  <c r="BZ126" i="2"/>
  <c r="CA126" i="2"/>
  <c r="CB126" i="2"/>
  <c r="CC126" i="2"/>
  <c r="CD126" i="2"/>
  <c r="CE126" i="2"/>
  <c r="CF126" i="2"/>
  <c r="CG126" i="2"/>
  <c r="CH126" i="2"/>
  <c r="CI126" i="2"/>
  <c r="CJ126" i="2"/>
  <c r="CK126" i="2"/>
  <c r="CL126" i="2"/>
  <c r="CM126" i="2"/>
  <c r="CN126" i="2"/>
  <c r="CO126" i="2"/>
  <c r="CP126" i="2"/>
  <c r="CQ126" i="2"/>
  <c r="CR126" i="2"/>
  <c r="CS126" i="2"/>
  <c r="CT126" i="2"/>
  <c r="CU126" i="2"/>
  <c r="CV126" i="2"/>
  <c r="CW126" i="2"/>
  <c r="CX126" i="2"/>
  <c r="CY126" i="2"/>
  <c r="CZ126" i="2"/>
  <c r="DA126" i="2"/>
  <c r="DB126" i="2"/>
  <c r="DC126" i="2"/>
  <c r="DD126" i="2"/>
  <c r="DE126" i="2"/>
  <c r="DF126" i="2"/>
  <c r="DG126" i="2"/>
  <c r="DH126" i="2"/>
  <c r="DI126" i="2"/>
  <c r="BQ127" i="2"/>
  <c r="BR127" i="2"/>
  <c r="BS127" i="2"/>
  <c r="BT127" i="2"/>
  <c r="BU127" i="2"/>
  <c r="BV127" i="2"/>
  <c r="BW127" i="2"/>
  <c r="BX127" i="2"/>
  <c r="BY127" i="2"/>
  <c r="BZ127" i="2"/>
  <c r="CA127" i="2"/>
  <c r="CB127" i="2"/>
  <c r="CC127" i="2"/>
  <c r="CD127" i="2"/>
  <c r="CE127" i="2"/>
  <c r="CF127" i="2"/>
  <c r="CG127" i="2"/>
  <c r="CH127" i="2"/>
  <c r="CI127" i="2"/>
  <c r="CJ127" i="2"/>
  <c r="CK127" i="2"/>
  <c r="CL127" i="2"/>
  <c r="CM127" i="2"/>
  <c r="CN127" i="2"/>
  <c r="CO127" i="2"/>
  <c r="CP127" i="2"/>
  <c r="CQ127" i="2"/>
  <c r="CR127" i="2"/>
  <c r="CS127" i="2"/>
  <c r="CT127" i="2"/>
  <c r="CU127" i="2"/>
  <c r="CV127" i="2"/>
  <c r="CW127" i="2"/>
  <c r="CX127" i="2"/>
  <c r="CY127" i="2"/>
  <c r="CZ127" i="2"/>
  <c r="DA127" i="2"/>
  <c r="DB127" i="2"/>
  <c r="DC127" i="2"/>
  <c r="DD127" i="2"/>
  <c r="DE127" i="2"/>
  <c r="DF127" i="2"/>
  <c r="DG127" i="2"/>
  <c r="DH127" i="2"/>
  <c r="DI127" i="2"/>
  <c r="BQ128" i="2"/>
  <c r="BR128" i="2"/>
  <c r="BS128" i="2"/>
  <c r="BT128" i="2"/>
  <c r="BU128" i="2"/>
  <c r="BV128" i="2"/>
  <c r="BW128" i="2"/>
  <c r="BX128" i="2"/>
  <c r="BY128" i="2"/>
  <c r="BZ128" i="2"/>
  <c r="CA128" i="2"/>
  <c r="CB128" i="2"/>
  <c r="CC128" i="2"/>
  <c r="CD128" i="2"/>
  <c r="CE128" i="2"/>
  <c r="CF128" i="2"/>
  <c r="CG128" i="2"/>
  <c r="CH128" i="2"/>
  <c r="CI128" i="2"/>
  <c r="CJ128" i="2"/>
  <c r="CK128" i="2"/>
  <c r="CL128" i="2"/>
  <c r="CM128" i="2"/>
  <c r="CN128" i="2"/>
  <c r="CO128" i="2"/>
  <c r="CP128" i="2"/>
  <c r="CQ128" i="2"/>
  <c r="CR128" i="2"/>
  <c r="CS128" i="2"/>
  <c r="CT128" i="2"/>
  <c r="CU128" i="2"/>
  <c r="CV128" i="2"/>
  <c r="CW128" i="2"/>
  <c r="CX128" i="2"/>
  <c r="CY128" i="2"/>
  <c r="CZ128" i="2"/>
  <c r="DA128" i="2"/>
  <c r="DB128" i="2"/>
  <c r="DC128" i="2"/>
  <c r="DD128" i="2"/>
  <c r="DE128" i="2"/>
  <c r="DF128" i="2"/>
  <c r="DG128" i="2"/>
  <c r="DH128" i="2"/>
  <c r="DI128" i="2"/>
  <c r="BQ129" i="2"/>
  <c r="BR129" i="2"/>
  <c r="BS129" i="2"/>
  <c r="BT129" i="2"/>
  <c r="BU129" i="2"/>
  <c r="BV129" i="2"/>
  <c r="BW129" i="2"/>
  <c r="BX129" i="2"/>
  <c r="BY129" i="2"/>
  <c r="BZ129" i="2"/>
  <c r="CA129" i="2"/>
  <c r="CB129" i="2"/>
  <c r="CC129" i="2"/>
  <c r="CD129" i="2"/>
  <c r="CE129" i="2"/>
  <c r="CF129" i="2"/>
  <c r="CG129" i="2"/>
  <c r="CH129" i="2"/>
  <c r="CI129" i="2"/>
  <c r="CJ129" i="2"/>
  <c r="CK129" i="2"/>
  <c r="CL129" i="2"/>
  <c r="CM129" i="2"/>
  <c r="CN129" i="2"/>
  <c r="CO129" i="2"/>
  <c r="CP129" i="2"/>
  <c r="CQ129" i="2"/>
  <c r="CR129" i="2"/>
  <c r="CS129" i="2"/>
  <c r="CT129" i="2"/>
  <c r="CU129" i="2"/>
  <c r="CV129" i="2"/>
  <c r="CW129" i="2"/>
  <c r="CX129" i="2"/>
  <c r="CY129" i="2"/>
  <c r="CZ129" i="2"/>
  <c r="DA129" i="2"/>
  <c r="DB129" i="2"/>
  <c r="DC129" i="2"/>
  <c r="DD129" i="2"/>
  <c r="DE129" i="2"/>
  <c r="DF129" i="2"/>
  <c r="DG129" i="2"/>
  <c r="DH129" i="2"/>
  <c r="DI129" i="2"/>
  <c r="BQ141" i="2"/>
  <c r="BR141" i="2"/>
  <c r="BS141" i="2"/>
  <c r="BT141" i="2"/>
  <c r="BU141" i="2"/>
  <c r="BV141" i="2"/>
  <c r="BW141" i="2"/>
  <c r="BX141" i="2"/>
  <c r="BY141" i="2"/>
  <c r="BZ141" i="2"/>
  <c r="CA141" i="2"/>
  <c r="CB141" i="2"/>
  <c r="CC141" i="2"/>
  <c r="CD141" i="2"/>
  <c r="CE141" i="2"/>
  <c r="CF141" i="2"/>
  <c r="CG141" i="2"/>
  <c r="CH141" i="2"/>
  <c r="CI141" i="2"/>
  <c r="CJ141" i="2"/>
  <c r="CK141" i="2"/>
  <c r="CL141" i="2"/>
  <c r="CM141" i="2"/>
  <c r="CN141" i="2"/>
  <c r="CO141" i="2"/>
  <c r="CP141" i="2"/>
  <c r="CQ141" i="2"/>
  <c r="CR141" i="2"/>
  <c r="CS141" i="2"/>
  <c r="CT141" i="2"/>
  <c r="CU141" i="2"/>
  <c r="CV141" i="2"/>
  <c r="CW141" i="2"/>
  <c r="CX141" i="2"/>
  <c r="CY141" i="2"/>
  <c r="CZ141" i="2"/>
  <c r="DA141" i="2"/>
  <c r="DB141" i="2"/>
  <c r="DC141" i="2"/>
  <c r="DD141" i="2"/>
  <c r="DE141" i="2"/>
  <c r="DF141" i="2"/>
  <c r="DG141" i="2"/>
  <c r="DH141" i="2"/>
  <c r="DI141" i="2"/>
  <c r="BQ142" i="2"/>
  <c r="BR142" i="2"/>
  <c r="BS142" i="2"/>
  <c r="BT142" i="2"/>
  <c r="BU142" i="2"/>
  <c r="BV142" i="2"/>
  <c r="BW142" i="2"/>
  <c r="BX142" i="2"/>
  <c r="BY142" i="2"/>
  <c r="BZ142" i="2"/>
  <c r="CA142" i="2"/>
  <c r="CB142" i="2"/>
  <c r="CC142" i="2"/>
  <c r="CD142" i="2"/>
  <c r="CE142" i="2"/>
  <c r="CF142" i="2"/>
  <c r="CG142" i="2"/>
  <c r="CH142" i="2"/>
  <c r="CI142" i="2"/>
  <c r="CJ142" i="2"/>
  <c r="CK142" i="2"/>
  <c r="CL142" i="2"/>
  <c r="CM142" i="2"/>
  <c r="CN142" i="2"/>
  <c r="CO142" i="2"/>
  <c r="CP142" i="2"/>
  <c r="CQ142" i="2"/>
  <c r="CR142" i="2"/>
  <c r="CS142" i="2"/>
  <c r="CT142" i="2"/>
  <c r="CU142" i="2"/>
  <c r="CV142" i="2"/>
  <c r="CW142" i="2"/>
  <c r="CX142" i="2"/>
  <c r="CY142" i="2"/>
  <c r="CZ142" i="2"/>
  <c r="DA142" i="2"/>
  <c r="DB142" i="2"/>
  <c r="DC142" i="2"/>
  <c r="DD142" i="2"/>
  <c r="DE142" i="2"/>
  <c r="DF142" i="2"/>
  <c r="DG142" i="2"/>
  <c r="DH142" i="2"/>
  <c r="DI142" i="2"/>
  <c r="BQ143" i="2"/>
  <c r="BR143" i="2"/>
  <c r="BS143" i="2"/>
  <c r="BT143" i="2"/>
  <c r="BU143" i="2"/>
  <c r="BV143" i="2"/>
  <c r="BW143" i="2"/>
  <c r="BX143" i="2"/>
  <c r="BY143" i="2"/>
  <c r="BZ143" i="2"/>
  <c r="CA143" i="2"/>
  <c r="CB143" i="2"/>
  <c r="CC143" i="2"/>
  <c r="CD143" i="2"/>
  <c r="CE143" i="2"/>
  <c r="CF143" i="2"/>
  <c r="CG143" i="2"/>
  <c r="CH143" i="2"/>
  <c r="CI143" i="2"/>
  <c r="CJ143" i="2"/>
  <c r="CK143" i="2"/>
  <c r="CL143" i="2"/>
  <c r="CM143" i="2"/>
  <c r="CN143" i="2"/>
  <c r="CO143" i="2"/>
  <c r="CP143" i="2"/>
  <c r="CQ143" i="2"/>
  <c r="CR143" i="2"/>
  <c r="CS143" i="2"/>
  <c r="CT143" i="2"/>
  <c r="CU143" i="2"/>
  <c r="CV143" i="2"/>
  <c r="CW143" i="2"/>
  <c r="CX143" i="2"/>
  <c r="CY143" i="2"/>
  <c r="CZ143" i="2"/>
  <c r="DA143" i="2"/>
  <c r="DB143" i="2"/>
  <c r="DC143" i="2"/>
  <c r="DD143" i="2"/>
  <c r="DE143" i="2"/>
  <c r="DF143" i="2"/>
  <c r="DG143" i="2"/>
  <c r="DH143" i="2"/>
  <c r="DI143" i="2"/>
  <c r="BQ144" i="2"/>
  <c r="BR144" i="2"/>
  <c r="BS144" i="2"/>
  <c r="BT144" i="2"/>
  <c r="BU144" i="2"/>
  <c r="BV144" i="2"/>
  <c r="BW144" i="2"/>
  <c r="BX144" i="2"/>
  <c r="BY144" i="2"/>
  <c r="BZ144" i="2"/>
  <c r="CA144" i="2"/>
  <c r="CB144" i="2"/>
  <c r="CC144" i="2"/>
  <c r="CD144" i="2"/>
  <c r="CE144" i="2"/>
  <c r="CF144" i="2"/>
  <c r="CG144" i="2"/>
  <c r="CH144" i="2"/>
  <c r="CI144" i="2"/>
  <c r="CJ144" i="2"/>
  <c r="CK144" i="2"/>
  <c r="CL144" i="2"/>
  <c r="CM144" i="2"/>
  <c r="CN144" i="2"/>
  <c r="CO144" i="2"/>
  <c r="CP144" i="2"/>
  <c r="CQ144" i="2"/>
  <c r="CR144" i="2"/>
  <c r="CS144" i="2"/>
  <c r="CT144" i="2"/>
  <c r="CU144" i="2"/>
  <c r="CV144" i="2"/>
  <c r="CW144" i="2"/>
  <c r="CX144" i="2"/>
  <c r="CY144" i="2"/>
  <c r="CZ144" i="2"/>
  <c r="DA144" i="2"/>
  <c r="DB144" i="2"/>
  <c r="DC144" i="2"/>
  <c r="DD144" i="2"/>
  <c r="DE144" i="2"/>
  <c r="DF144" i="2"/>
  <c r="DG144" i="2"/>
  <c r="DH144" i="2"/>
  <c r="DI144" i="2"/>
  <c r="BQ156" i="2"/>
  <c r="BR156" i="2"/>
  <c r="BS156" i="2"/>
  <c r="BT156" i="2"/>
  <c r="BU156" i="2"/>
  <c r="BV156" i="2"/>
  <c r="BW156" i="2"/>
  <c r="BX156" i="2"/>
  <c r="BY156" i="2"/>
  <c r="BZ156" i="2"/>
  <c r="CA156" i="2"/>
  <c r="CB156" i="2"/>
  <c r="CC156" i="2"/>
  <c r="CD156" i="2"/>
  <c r="CE156" i="2"/>
  <c r="CF156" i="2"/>
  <c r="CG156" i="2"/>
  <c r="CH156" i="2"/>
  <c r="CI156" i="2"/>
  <c r="CJ156" i="2"/>
  <c r="CK156" i="2"/>
  <c r="CL156" i="2"/>
  <c r="CM156" i="2"/>
  <c r="CN156" i="2"/>
  <c r="CO156" i="2"/>
  <c r="CP156" i="2"/>
  <c r="CQ156" i="2"/>
  <c r="CR156" i="2"/>
  <c r="CS156" i="2"/>
  <c r="CT156" i="2"/>
  <c r="CU156" i="2"/>
  <c r="CV156" i="2"/>
  <c r="CW156" i="2"/>
  <c r="CX156" i="2"/>
  <c r="CY156" i="2"/>
  <c r="CZ156" i="2"/>
  <c r="DA156" i="2"/>
  <c r="DB156" i="2"/>
  <c r="DC156" i="2"/>
  <c r="DD156" i="2"/>
  <c r="DE156" i="2"/>
  <c r="DF156" i="2"/>
  <c r="DG156" i="2"/>
  <c r="DH156" i="2"/>
  <c r="DI156" i="2"/>
  <c r="BQ157" i="2"/>
  <c r="BR157" i="2"/>
  <c r="BS157" i="2"/>
  <c r="BT157" i="2"/>
  <c r="BU157" i="2"/>
  <c r="BV157" i="2"/>
  <c r="BW157" i="2"/>
  <c r="BX157" i="2"/>
  <c r="BY157" i="2"/>
  <c r="BZ157" i="2"/>
  <c r="CA157" i="2"/>
  <c r="CB157" i="2"/>
  <c r="CC157" i="2"/>
  <c r="CD157" i="2"/>
  <c r="CE157" i="2"/>
  <c r="CF157" i="2"/>
  <c r="CG157" i="2"/>
  <c r="CH157" i="2"/>
  <c r="CI157" i="2"/>
  <c r="CJ157" i="2"/>
  <c r="CK157" i="2"/>
  <c r="CL157" i="2"/>
  <c r="CM157" i="2"/>
  <c r="CN157" i="2"/>
  <c r="CO157" i="2"/>
  <c r="CP157" i="2"/>
  <c r="CQ157" i="2"/>
  <c r="CR157" i="2"/>
  <c r="CS157" i="2"/>
  <c r="CT157" i="2"/>
  <c r="CU157" i="2"/>
  <c r="CV157" i="2"/>
  <c r="CW157" i="2"/>
  <c r="CX157" i="2"/>
  <c r="CY157" i="2"/>
  <c r="CZ157" i="2"/>
  <c r="DA157" i="2"/>
  <c r="DB157" i="2"/>
  <c r="DC157" i="2"/>
  <c r="DD157" i="2"/>
  <c r="DE157" i="2"/>
  <c r="DF157" i="2"/>
  <c r="DG157" i="2"/>
  <c r="DH157" i="2"/>
  <c r="DI157" i="2"/>
  <c r="BQ158" i="2"/>
  <c r="BR158" i="2"/>
  <c r="BS158" i="2"/>
  <c r="BT158" i="2"/>
  <c r="BU158" i="2"/>
  <c r="BV158" i="2"/>
  <c r="BW158" i="2"/>
  <c r="BX158" i="2"/>
  <c r="BY158" i="2"/>
  <c r="BZ158" i="2"/>
  <c r="CA158" i="2"/>
  <c r="CB158" i="2"/>
  <c r="CC158" i="2"/>
  <c r="CD158" i="2"/>
  <c r="CE158" i="2"/>
  <c r="CF158" i="2"/>
  <c r="CG158" i="2"/>
  <c r="CH158" i="2"/>
  <c r="CI158" i="2"/>
  <c r="CJ158" i="2"/>
  <c r="CK158" i="2"/>
  <c r="CL158" i="2"/>
  <c r="CM158" i="2"/>
  <c r="CN158" i="2"/>
  <c r="CO158" i="2"/>
  <c r="CP158" i="2"/>
  <c r="CQ158" i="2"/>
  <c r="CR158" i="2"/>
  <c r="CS158" i="2"/>
  <c r="CT158" i="2"/>
  <c r="CU158" i="2"/>
  <c r="CV158" i="2"/>
  <c r="CW158" i="2"/>
  <c r="CX158" i="2"/>
  <c r="CY158" i="2"/>
  <c r="CZ158" i="2"/>
  <c r="DA158" i="2"/>
  <c r="DB158" i="2"/>
  <c r="DC158" i="2"/>
  <c r="DD158" i="2"/>
  <c r="DE158" i="2"/>
  <c r="DF158" i="2"/>
  <c r="DG158" i="2"/>
  <c r="DH158" i="2"/>
  <c r="DI158" i="2"/>
  <c r="BQ159" i="2"/>
  <c r="BR159" i="2"/>
  <c r="BS159" i="2"/>
  <c r="BT159" i="2"/>
  <c r="BU159" i="2"/>
  <c r="BV159" i="2"/>
  <c r="BW159" i="2"/>
  <c r="BX159" i="2"/>
  <c r="BY159" i="2"/>
  <c r="BZ159" i="2"/>
  <c r="CA159" i="2"/>
  <c r="CB159" i="2"/>
  <c r="CC159" i="2"/>
  <c r="CD159" i="2"/>
  <c r="CE159" i="2"/>
  <c r="CF159" i="2"/>
  <c r="CG159" i="2"/>
  <c r="CH159" i="2"/>
  <c r="CI159" i="2"/>
  <c r="CJ159" i="2"/>
  <c r="CK159" i="2"/>
  <c r="CL159" i="2"/>
  <c r="CM159" i="2"/>
  <c r="CN159" i="2"/>
  <c r="CO159" i="2"/>
  <c r="CP159" i="2"/>
  <c r="CQ159" i="2"/>
  <c r="CR159" i="2"/>
  <c r="CS159" i="2"/>
  <c r="CT159" i="2"/>
  <c r="CU159" i="2"/>
  <c r="CV159" i="2"/>
  <c r="CW159" i="2"/>
  <c r="CX159" i="2"/>
  <c r="CY159" i="2"/>
  <c r="CZ159" i="2"/>
  <c r="DA159" i="2"/>
  <c r="DB159" i="2"/>
  <c r="DC159" i="2"/>
  <c r="DD159" i="2"/>
  <c r="DE159" i="2"/>
  <c r="DF159" i="2"/>
  <c r="DG159" i="2"/>
  <c r="DH159" i="2"/>
  <c r="DI159" i="2"/>
  <c r="DI5" i="2"/>
  <c r="DH5" i="2"/>
  <c r="DG5" i="2"/>
  <c r="CG5" i="2"/>
  <c r="CO5" i="2"/>
  <c r="DF5" i="2"/>
  <c r="DE5" i="2"/>
  <c r="DD5" i="2"/>
  <c r="CU5" i="2"/>
  <c r="DC5" i="2"/>
  <c r="DB5" i="2"/>
  <c r="DA5" i="2"/>
  <c r="S5" i="2"/>
  <c r="CZ5" i="2"/>
  <c r="CY5" i="2"/>
  <c r="CX5" i="2"/>
  <c r="CW5" i="2"/>
  <c r="CV5" i="2"/>
  <c r="CL5" i="2"/>
  <c r="CT5" i="2"/>
  <c r="CS5" i="2"/>
  <c r="CR5" i="2"/>
  <c r="R5" i="2"/>
  <c r="CQ5" i="2"/>
  <c r="CP5" i="2"/>
  <c r="CF5" i="2"/>
  <c r="CN5" i="2"/>
  <c r="CM5" i="2"/>
  <c r="CC5" i="2"/>
  <c r="CK5" i="2"/>
  <c r="CJ5" i="2"/>
  <c r="CI5" i="2"/>
  <c r="Q5" i="2"/>
  <c r="CH5" i="2"/>
  <c r="BW5" i="2"/>
  <c r="CE5" i="2"/>
  <c r="CD5" i="2"/>
  <c r="BT5" i="2"/>
  <c r="CB5" i="2"/>
  <c r="CA5" i="2"/>
  <c r="BZ5" i="2"/>
  <c r="P5" i="2"/>
  <c r="BY5" i="2"/>
  <c r="BX5" i="2"/>
  <c r="BV5" i="2"/>
  <c r="BU5" i="2"/>
  <c r="U5" i="2"/>
  <c r="BS5" i="2"/>
  <c r="Y5" i="2"/>
  <c r="BQ5" i="2"/>
  <c r="BR5" i="2"/>
  <c r="X5" i="2"/>
  <c r="BF6" i="2"/>
  <c r="BG6" i="2"/>
  <c r="BH6" i="2"/>
  <c r="BI6" i="2"/>
  <c r="BJ6" i="2"/>
  <c r="BK6" i="2"/>
  <c r="BL6" i="2"/>
  <c r="BM6" i="2"/>
  <c r="BN6" i="2"/>
  <c r="BF7" i="2"/>
  <c r="BG7" i="2"/>
  <c r="BH7" i="2"/>
  <c r="BI7" i="2"/>
  <c r="BJ7" i="2"/>
  <c r="BK7" i="2"/>
  <c r="BL7" i="2"/>
  <c r="BM7" i="2"/>
  <c r="Y183" i="2" s="1"/>
  <c r="BN7" i="2"/>
  <c r="BF8" i="2"/>
  <c r="BG8" i="2"/>
  <c r="BH8" i="2"/>
  <c r="BI8" i="2"/>
  <c r="BJ8" i="2"/>
  <c r="BK8" i="2"/>
  <c r="BL8" i="2"/>
  <c r="BM8" i="2"/>
  <c r="BN8" i="2"/>
  <c r="Y184" i="2" s="1"/>
  <c r="BF20" i="2"/>
  <c r="BG20" i="2"/>
  <c r="BH20" i="2"/>
  <c r="BI20" i="2"/>
  <c r="BJ20" i="2"/>
  <c r="BK20" i="2"/>
  <c r="BL20" i="2"/>
  <c r="BM20" i="2"/>
  <c r="BN20" i="2"/>
  <c r="BF21" i="2"/>
  <c r="BG21" i="2"/>
  <c r="BH21" i="2"/>
  <c r="BI21" i="2"/>
  <c r="BJ21" i="2"/>
  <c r="BK21" i="2"/>
  <c r="BL21" i="2"/>
  <c r="BM21" i="2"/>
  <c r="BN21" i="2"/>
  <c r="BF22" i="2"/>
  <c r="BG22" i="2"/>
  <c r="BH22" i="2"/>
  <c r="BI22" i="2"/>
  <c r="BJ22" i="2"/>
  <c r="BK22" i="2"/>
  <c r="BL22" i="2"/>
  <c r="BM22" i="2"/>
  <c r="BN22" i="2"/>
  <c r="BF23" i="2"/>
  <c r="BG23" i="2"/>
  <c r="BH23" i="2"/>
  <c r="BI23" i="2"/>
  <c r="BJ23" i="2"/>
  <c r="BK23" i="2"/>
  <c r="BL23" i="2"/>
  <c r="BM23" i="2"/>
  <c r="BN23" i="2"/>
  <c r="BF35" i="2"/>
  <c r="BG35" i="2"/>
  <c r="BH35" i="2"/>
  <c r="BI35" i="2"/>
  <c r="BJ35" i="2"/>
  <c r="BK35" i="2"/>
  <c r="BL35" i="2"/>
  <c r="BM35" i="2"/>
  <c r="BN35" i="2"/>
  <c r="BF36" i="2"/>
  <c r="BG36" i="2"/>
  <c r="BH36" i="2"/>
  <c r="BI36" i="2"/>
  <c r="BJ36" i="2"/>
  <c r="BK36" i="2"/>
  <c r="BL36" i="2"/>
  <c r="BM36" i="2"/>
  <c r="BN36" i="2"/>
  <c r="BF37" i="2"/>
  <c r="BG37" i="2"/>
  <c r="BH37" i="2"/>
  <c r="BI37" i="2"/>
  <c r="BJ37" i="2"/>
  <c r="BK37" i="2"/>
  <c r="BL37" i="2"/>
  <c r="BM37" i="2"/>
  <c r="BN37" i="2"/>
  <c r="BF38" i="2"/>
  <c r="BG38" i="2"/>
  <c r="BH38" i="2"/>
  <c r="BI38" i="2"/>
  <c r="BJ38" i="2"/>
  <c r="BK38" i="2"/>
  <c r="BL38" i="2"/>
  <c r="BM38" i="2"/>
  <c r="BN38" i="2"/>
  <c r="BF51" i="2"/>
  <c r="BG51" i="2"/>
  <c r="BH51" i="2"/>
  <c r="BI51" i="2"/>
  <c r="BJ51" i="2"/>
  <c r="BK51" i="2"/>
  <c r="BL51" i="2"/>
  <c r="BM51" i="2"/>
  <c r="BN51" i="2"/>
  <c r="BF52" i="2"/>
  <c r="BG52" i="2"/>
  <c r="BH52" i="2"/>
  <c r="BI52" i="2"/>
  <c r="BJ52" i="2"/>
  <c r="BK52" i="2"/>
  <c r="BL52" i="2"/>
  <c r="BM52" i="2"/>
  <c r="BN52" i="2"/>
  <c r="BF53" i="2"/>
  <c r="BG53" i="2"/>
  <c r="BH53" i="2"/>
  <c r="BI53" i="2"/>
  <c r="BJ53" i="2"/>
  <c r="BK53" i="2"/>
  <c r="BL53" i="2"/>
  <c r="BM53" i="2"/>
  <c r="BN53" i="2"/>
  <c r="BF54" i="2"/>
  <c r="BG54" i="2"/>
  <c r="BH54" i="2"/>
  <c r="BI54" i="2"/>
  <c r="BJ54" i="2"/>
  <c r="BK54" i="2"/>
  <c r="BL54" i="2"/>
  <c r="BM54" i="2"/>
  <c r="BN54" i="2"/>
  <c r="BF65" i="2"/>
  <c r="BG65" i="2"/>
  <c r="BH65" i="2"/>
  <c r="BI65" i="2"/>
  <c r="BJ65" i="2"/>
  <c r="BK65" i="2"/>
  <c r="BL65" i="2"/>
  <c r="BM65" i="2"/>
  <c r="BN65" i="2"/>
  <c r="BF66" i="2"/>
  <c r="BG66" i="2"/>
  <c r="BH66" i="2"/>
  <c r="BI66" i="2"/>
  <c r="BJ66" i="2"/>
  <c r="BK66" i="2"/>
  <c r="BL66" i="2"/>
  <c r="BM66" i="2"/>
  <c r="BN66" i="2"/>
  <c r="BF67" i="2"/>
  <c r="BG67" i="2"/>
  <c r="BH67" i="2"/>
  <c r="BI67" i="2"/>
  <c r="BJ67" i="2"/>
  <c r="BK67" i="2"/>
  <c r="BL67" i="2"/>
  <c r="BM67" i="2"/>
  <c r="BN67" i="2"/>
  <c r="BF68" i="2"/>
  <c r="BG68" i="2"/>
  <c r="BH68" i="2"/>
  <c r="BI68" i="2"/>
  <c r="BJ68" i="2"/>
  <c r="BK68" i="2"/>
  <c r="BL68" i="2"/>
  <c r="BM68" i="2"/>
  <c r="BN68" i="2"/>
  <c r="BF69" i="2"/>
  <c r="BG69" i="2"/>
  <c r="BH69" i="2"/>
  <c r="BI69" i="2"/>
  <c r="BJ69" i="2"/>
  <c r="BK69" i="2"/>
  <c r="BL69" i="2"/>
  <c r="BM69" i="2"/>
  <c r="BN69" i="2"/>
  <c r="BF81" i="2"/>
  <c r="BG81" i="2"/>
  <c r="BH81" i="2"/>
  <c r="BI81" i="2"/>
  <c r="BJ81" i="2"/>
  <c r="BK81" i="2"/>
  <c r="BL81" i="2"/>
  <c r="BM81" i="2"/>
  <c r="BN81" i="2"/>
  <c r="BF82" i="2"/>
  <c r="BG82" i="2"/>
  <c r="BH82" i="2"/>
  <c r="BI82" i="2"/>
  <c r="BJ82" i="2"/>
  <c r="BK82" i="2"/>
  <c r="BL82" i="2"/>
  <c r="BM82" i="2"/>
  <c r="BN82" i="2"/>
  <c r="BF83" i="2"/>
  <c r="BG83" i="2"/>
  <c r="BH83" i="2"/>
  <c r="BI83" i="2"/>
  <c r="BJ83" i="2"/>
  <c r="BK83" i="2"/>
  <c r="BL83" i="2"/>
  <c r="BM83" i="2"/>
  <c r="BN83" i="2"/>
  <c r="BF84" i="2"/>
  <c r="BG84" i="2"/>
  <c r="BH84" i="2"/>
  <c r="BI84" i="2"/>
  <c r="BJ84" i="2"/>
  <c r="BK84" i="2"/>
  <c r="BL84" i="2"/>
  <c r="BM84" i="2"/>
  <c r="BN84" i="2"/>
  <c r="BF96" i="2"/>
  <c r="BG96" i="2"/>
  <c r="BH96" i="2"/>
  <c r="BI96" i="2"/>
  <c r="BJ96" i="2"/>
  <c r="BK96" i="2"/>
  <c r="BL96" i="2"/>
  <c r="BM96" i="2"/>
  <c r="BN96" i="2"/>
  <c r="BF97" i="2"/>
  <c r="BG97" i="2"/>
  <c r="BH97" i="2"/>
  <c r="BI97" i="2"/>
  <c r="BJ97" i="2"/>
  <c r="BK97" i="2"/>
  <c r="BL97" i="2"/>
  <c r="BM97" i="2"/>
  <c r="BN97" i="2"/>
  <c r="BF98" i="2"/>
  <c r="BG98" i="2"/>
  <c r="BH98" i="2"/>
  <c r="BI98" i="2"/>
  <c r="BJ98" i="2"/>
  <c r="BK98" i="2"/>
  <c r="BL98" i="2"/>
  <c r="BM98" i="2"/>
  <c r="BN98" i="2"/>
  <c r="BF99" i="2"/>
  <c r="BG99" i="2"/>
  <c r="BH99" i="2"/>
  <c r="BI99" i="2"/>
  <c r="BJ99" i="2"/>
  <c r="BK99" i="2"/>
  <c r="BL99" i="2"/>
  <c r="BM99" i="2"/>
  <c r="BN99" i="2"/>
  <c r="BF111" i="2"/>
  <c r="BG111" i="2"/>
  <c r="BH111" i="2"/>
  <c r="BI111" i="2"/>
  <c r="BJ111" i="2"/>
  <c r="BK111" i="2"/>
  <c r="BL111" i="2"/>
  <c r="BM111" i="2"/>
  <c r="BN111" i="2"/>
  <c r="BF112" i="2"/>
  <c r="BG112" i="2"/>
  <c r="BH112" i="2"/>
  <c r="BI112" i="2"/>
  <c r="BJ112" i="2"/>
  <c r="BK112" i="2"/>
  <c r="BL112" i="2"/>
  <c r="BM112" i="2"/>
  <c r="BN112" i="2"/>
  <c r="BF113" i="2"/>
  <c r="BG113" i="2"/>
  <c r="BH113" i="2"/>
  <c r="BI113" i="2"/>
  <c r="BJ113" i="2"/>
  <c r="BK113" i="2"/>
  <c r="BL113" i="2"/>
  <c r="BM113" i="2"/>
  <c r="BN113" i="2"/>
  <c r="BF114" i="2"/>
  <c r="BG114" i="2"/>
  <c r="BH114" i="2"/>
  <c r="BI114" i="2"/>
  <c r="BJ114" i="2"/>
  <c r="BK114" i="2"/>
  <c r="BL114" i="2"/>
  <c r="BM114" i="2"/>
  <c r="BN114" i="2"/>
  <c r="BF126" i="2"/>
  <c r="BG126" i="2"/>
  <c r="BH126" i="2"/>
  <c r="BI126" i="2"/>
  <c r="BJ126" i="2"/>
  <c r="BK126" i="2"/>
  <c r="BL126" i="2"/>
  <c r="BM126" i="2"/>
  <c r="BN126" i="2"/>
  <c r="BF127" i="2"/>
  <c r="BG127" i="2"/>
  <c r="BH127" i="2"/>
  <c r="BI127" i="2"/>
  <c r="BJ127" i="2"/>
  <c r="BK127" i="2"/>
  <c r="BL127" i="2"/>
  <c r="BM127" i="2"/>
  <c r="BN127" i="2"/>
  <c r="BF128" i="2"/>
  <c r="BG128" i="2"/>
  <c r="BH128" i="2"/>
  <c r="BI128" i="2"/>
  <c r="BJ128" i="2"/>
  <c r="BK128" i="2"/>
  <c r="BL128" i="2"/>
  <c r="BM128" i="2"/>
  <c r="BN128" i="2"/>
  <c r="BF129" i="2"/>
  <c r="BG129" i="2"/>
  <c r="BH129" i="2"/>
  <c r="BI129" i="2"/>
  <c r="BJ129" i="2"/>
  <c r="BK129" i="2"/>
  <c r="BL129" i="2"/>
  <c r="BM129" i="2"/>
  <c r="BN129" i="2"/>
  <c r="BF141" i="2"/>
  <c r="BG141" i="2"/>
  <c r="BH141" i="2"/>
  <c r="BI141" i="2"/>
  <c r="BJ141" i="2"/>
  <c r="BK141" i="2"/>
  <c r="BL141" i="2"/>
  <c r="BM141" i="2"/>
  <c r="BN141" i="2"/>
  <c r="BF142" i="2"/>
  <c r="BG142" i="2"/>
  <c r="BH142" i="2"/>
  <c r="BI142" i="2"/>
  <c r="BJ142" i="2"/>
  <c r="BK142" i="2"/>
  <c r="BL142" i="2"/>
  <c r="BM142" i="2"/>
  <c r="BN142" i="2"/>
  <c r="BF143" i="2"/>
  <c r="BG143" i="2"/>
  <c r="BH143" i="2"/>
  <c r="BI143" i="2"/>
  <c r="BJ143" i="2"/>
  <c r="BK143" i="2"/>
  <c r="BL143" i="2"/>
  <c r="BM143" i="2"/>
  <c r="BN143" i="2"/>
  <c r="BF144" i="2"/>
  <c r="BG144" i="2"/>
  <c r="BH144" i="2"/>
  <c r="BI144" i="2"/>
  <c r="BJ144" i="2"/>
  <c r="BK144" i="2"/>
  <c r="BL144" i="2"/>
  <c r="BM144" i="2"/>
  <c r="BN144" i="2"/>
  <c r="BF156" i="2"/>
  <c r="BG156" i="2"/>
  <c r="BH156" i="2"/>
  <c r="BI156" i="2"/>
  <c r="BJ156" i="2"/>
  <c r="BK156" i="2"/>
  <c r="BL156" i="2"/>
  <c r="BM156" i="2"/>
  <c r="BN156" i="2"/>
  <c r="BF157" i="2"/>
  <c r="BG157" i="2"/>
  <c r="BH157" i="2"/>
  <c r="BI157" i="2"/>
  <c r="BJ157" i="2"/>
  <c r="BK157" i="2"/>
  <c r="BL157" i="2"/>
  <c r="BM157" i="2"/>
  <c r="BN157" i="2"/>
  <c r="BF158" i="2"/>
  <c r="BG158" i="2"/>
  <c r="BH158" i="2"/>
  <c r="BI158" i="2"/>
  <c r="BJ158" i="2"/>
  <c r="BK158" i="2"/>
  <c r="BL158" i="2"/>
  <c r="BM158" i="2"/>
  <c r="BN158" i="2"/>
  <c r="BF159" i="2"/>
  <c r="BG159" i="2"/>
  <c r="BH159" i="2"/>
  <c r="BI159" i="2"/>
  <c r="BJ159" i="2"/>
  <c r="BK159" i="2"/>
  <c r="BL159" i="2"/>
  <c r="BM159" i="2"/>
  <c r="BN159" i="2"/>
  <c r="BN5" i="2"/>
  <c r="BM5" i="2"/>
  <c r="BL5" i="2"/>
  <c r="Y182" i="2" s="1"/>
  <c r="BK5" i="2"/>
  <c r="Y181" i="2" s="1"/>
  <c r="BJ5" i="2"/>
  <c r="Y180" i="2" s="1"/>
  <c r="BI5" i="2"/>
  <c r="Y179" i="2" s="1"/>
  <c r="BH5" i="2"/>
  <c r="Y178" i="2" s="1"/>
  <c r="BG5" i="2"/>
  <c r="Y177" i="2" s="1"/>
  <c r="BF5" i="2"/>
  <c r="AP5" i="2"/>
  <c r="U176" i="2" s="1"/>
  <c r="U181" i="2"/>
  <c r="U187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B127" i="2"/>
  <c r="BC127" i="2"/>
  <c r="BD127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BC142" i="2"/>
  <c r="BD142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BC143" i="2"/>
  <c r="BD143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C144" i="2"/>
  <c r="BD144" i="2"/>
  <c r="AP156" i="2"/>
  <c r="AQ156" i="2"/>
  <c r="AR156" i="2"/>
  <c r="AS156" i="2"/>
  <c r="AT156" i="2"/>
  <c r="AU156" i="2"/>
  <c r="AV156" i="2"/>
  <c r="AW156" i="2"/>
  <c r="AX156" i="2"/>
  <c r="AY156" i="2"/>
  <c r="AZ156" i="2"/>
  <c r="BA156" i="2"/>
  <c r="BB156" i="2"/>
  <c r="BC156" i="2"/>
  <c r="BD156" i="2"/>
  <c r="AP157" i="2"/>
  <c r="AQ157" i="2"/>
  <c r="AR157" i="2"/>
  <c r="AS157" i="2"/>
  <c r="AT157" i="2"/>
  <c r="AU157" i="2"/>
  <c r="AV157" i="2"/>
  <c r="AW157" i="2"/>
  <c r="AX157" i="2"/>
  <c r="AY157" i="2"/>
  <c r="AZ157" i="2"/>
  <c r="BA157" i="2"/>
  <c r="BB157" i="2"/>
  <c r="BC157" i="2"/>
  <c r="BD157" i="2"/>
  <c r="AP158" i="2"/>
  <c r="AQ158" i="2"/>
  <c r="AR158" i="2"/>
  <c r="AS158" i="2"/>
  <c r="AT158" i="2"/>
  <c r="AU158" i="2"/>
  <c r="AV158" i="2"/>
  <c r="AW158" i="2"/>
  <c r="AX158" i="2"/>
  <c r="AY158" i="2"/>
  <c r="AZ158" i="2"/>
  <c r="BA158" i="2"/>
  <c r="BB158" i="2"/>
  <c r="BC158" i="2"/>
  <c r="BD158" i="2"/>
  <c r="AP159" i="2"/>
  <c r="AQ159" i="2"/>
  <c r="AR159" i="2"/>
  <c r="AS159" i="2"/>
  <c r="AT159" i="2"/>
  <c r="AU159" i="2"/>
  <c r="AV159" i="2"/>
  <c r="AW159" i="2"/>
  <c r="AX159" i="2"/>
  <c r="AY159" i="2"/>
  <c r="AZ159" i="2"/>
  <c r="BA159" i="2"/>
  <c r="BB159" i="2"/>
  <c r="BC159" i="2"/>
  <c r="BD159" i="2"/>
  <c r="BA5" i="2"/>
  <c r="AZ5" i="2"/>
  <c r="U186" i="2" s="1"/>
  <c r="AY5" i="2"/>
  <c r="U185" i="2" s="1"/>
  <c r="BD5" i="2"/>
  <c r="U190" i="2" s="1"/>
  <c r="BC5" i="2"/>
  <c r="U189" i="2" s="1"/>
  <c r="BB5" i="2"/>
  <c r="U188" i="2" s="1"/>
  <c r="AX5" i="2"/>
  <c r="U184" i="2" s="1"/>
  <c r="AW5" i="2"/>
  <c r="U183" i="2" s="1"/>
  <c r="AV5" i="2"/>
  <c r="U182" i="2" s="1"/>
  <c r="AU5" i="2"/>
  <c r="AT5" i="2"/>
  <c r="U180" i="2" s="1"/>
  <c r="AS5" i="2"/>
  <c r="U179" i="2" s="1"/>
  <c r="AR5" i="2"/>
  <c r="U178" i="2" s="1"/>
  <c r="AQ5" i="2"/>
  <c r="U177" i="2" s="1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56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41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26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11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96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81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66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51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35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20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5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H5" i="2"/>
  <c r="Q184" i="2" s="1"/>
  <c r="AG5" i="2"/>
  <c r="AF5" i="2"/>
  <c r="AE5" i="2"/>
  <c r="AD5" i="2"/>
  <c r="AC5" i="2"/>
  <c r="AN5" i="2"/>
  <c r="AM5" i="2"/>
  <c r="AL5" i="2"/>
  <c r="AK5" i="2"/>
  <c r="AJ5" i="2"/>
  <c r="AI5" i="2"/>
  <c r="AB5" i="2"/>
  <c r="Q178" i="2" s="1"/>
  <c r="AA6" i="2"/>
  <c r="AA7" i="2"/>
  <c r="AA8" i="2"/>
  <c r="AA20" i="2"/>
  <c r="AA21" i="2"/>
  <c r="AA22" i="2"/>
  <c r="AA23" i="2"/>
  <c r="AA35" i="2"/>
  <c r="AA36" i="2"/>
  <c r="AA37" i="2"/>
  <c r="AA38" i="2"/>
  <c r="AA51" i="2"/>
  <c r="AA52" i="2"/>
  <c r="AA53" i="2"/>
  <c r="AA54" i="2"/>
  <c r="AA66" i="2"/>
  <c r="AA67" i="2"/>
  <c r="AA68" i="2"/>
  <c r="AA69" i="2"/>
  <c r="AA81" i="2"/>
  <c r="AA82" i="2"/>
  <c r="AA83" i="2"/>
  <c r="AA84" i="2"/>
  <c r="AA96" i="2"/>
  <c r="AA97" i="2"/>
  <c r="AA98" i="2"/>
  <c r="AA99" i="2"/>
  <c r="AA111" i="2"/>
  <c r="AA112" i="2"/>
  <c r="AA113" i="2"/>
  <c r="AA114" i="2"/>
  <c r="AA126" i="2"/>
  <c r="AA127" i="2"/>
  <c r="AA128" i="2"/>
  <c r="AA129" i="2"/>
  <c r="AA141" i="2"/>
  <c r="AA142" i="2"/>
  <c r="AA143" i="2"/>
  <c r="AA144" i="2"/>
  <c r="AA156" i="2"/>
  <c r="AA157" i="2"/>
  <c r="AA158" i="2"/>
  <c r="AA159" i="2"/>
  <c r="AA5" i="2"/>
  <c r="Z20" i="2"/>
  <c r="Z21" i="2"/>
  <c r="Z22" i="2"/>
  <c r="Z23" i="2"/>
  <c r="Z35" i="2"/>
  <c r="Z36" i="2"/>
  <c r="Z37" i="2"/>
  <c r="Z38" i="2"/>
  <c r="Z51" i="2"/>
  <c r="Z52" i="2"/>
  <c r="Z53" i="2"/>
  <c r="Z54" i="2"/>
  <c r="Z66" i="2"/>
  <c r="Z67" i="2"/>
  <c r="Z68" i="2"/>
  <c r="Z69" i="2"/>
  <c r="Z81" i="2"/>
  <c r="Z82" i="2"/>
  <c r="Z83" i="2"/>
  <c r="Z84" i="2"/>
  <c r="Z96" i="2"/>
  <c r="Z97" i="2"/>
  <c r="Z98" i="2"/>
  <c r="Z99" i="2"/>
  <c r="Z111" i="2"/>
  <c r="Z112" i="2"/>
  <c r="Z113" i="2"/>
  <c r="Z114" i="2"/>
  <c r="Z126" i="2"/>
  <c r="Z127" i="2"/>
  <c r="Z128" i="2"/>
  <c r="Z129" i="2"/>
  <c r="Z141" i="2"/>
  <c r="Z142" i="2"/>
  <c r="Z143" i="2"/>
  <c r="Z144" i="2"/>
  <c r="Z156" i="2"/>
  <c r="Z157" i="2"/>
  <c r="Z158" i="2"/>
  <c r="Z159" i="2"/>
  <c r="Z6" i="2"/>
  <c r="Z7" i="2"/>
  <c r="Z8" i="2"/>
  <c r="Z5" i="2"/>
  <c r="O156" i="2"/>
  <c r="P156" i="2"/>
  <c r="Q156" i="2"/>
  <c r="R156" i="2"/>
  <c r="S156" i="2"/>
  <c r="T156" i="2"/>
  <c r="U156" i="2"/>
  <c r="V156" i="2"/>
  <c r="W156" i="2"/>
  <c r="X156" i="2"/>
  <c r="Y156" i="2"/>
  <c r="O157" i="2"/>
  <c r="P157" i="2"/>
  <c r="Q157" i="2"/>
  <c r="R157" i="2"/>
  <c r="S157" i="2"/>
  <c r="T157" i="2"/>
  <c r="U157" i="2"/>
  <c r="V157" i="2"/>
  <c r="W157" i="2"/>
  <c r="X157" i="2"/>
  <c r="Y157" i="2"/>
  <c r="O158" i="2"/>
  <c r="P158" i="2"/>
  <c r="Q158" i="2"/>
  <c r="R158" i="2"/>
  <c r="S158" i="2"/>
  <c r="T158" i="2"/>
  <c r="U158" i="2"/>
  <c r="V158" i="2"/>
  <c r="W158" i="2"/>
  <c r="X158" i="2"/>
  <c r="Y158" i="2"/>
  <c r="O159" i="2"/>
  <c r="P159" i="2"/>
  <c r="Q159" i="2"/>
  <c r="R159" i="2"/>
  <c r="S159" i="2"/>
  <c r="T159" i="2"/>
  <c r="U159" i="2"/>
  <c r="V159" i="2"/>
  <c r="W159" i="2"/>
  <c r="X159" i="2"/>
  <c r="Y159" i="2"/>
  <c r="O141" i="2"/>
  <c r="P141" i="2"/>
  <c r="Q141" i="2"/>
  <c r="R141" i="2"/>
  <c r="S141" i="2"/>
  <c r="T141" i="2"/>
  <c r="U141" i="2"/>
  <c r="V141" i="2"/>
  <c r="W141" i="2"/>
  <c r="X141" i="2"/>
  <c r="Y141" i="2"/>
  <c r="O142" i="2"/>
  <c r="P142" i="2"/>
  <c r="Q142" i="2"/>
  <c r="R142" i="2"/>
  <c r="S142" i="2"/>
  <c r="T142" i="2"/>
  <c r="U142" i="2"/>
  <c r="V142" i="2"/>
  <c r="W142" i="2"/>
  <c r="X142" i="2"/>
  <c r="Y142" i="2"/>
  <c r="O143" i="2"/>
  <c r="P143" i="2"/>
  <c r="Q143" i="2"/>
  <c r="R143" i="2"/>
  <c r="S143" i="2"/>
  <c r="T143" i="2"/>
  <c r="U143" i="2"/>
  <c r="V143" i="2"/>
  <c r="W143" i="2"/>
  <c r="X143" i="2"/>
  <c r="Y143" i="2"/>
  <c r="O144" i="2"/>
  <c r="P144" i="2"/>
  <c r="Q144" i="2"/>
  <c r="R144" i="2"/>
  <c r="S144" i="2"/>
  <c r="T144" i="2"/>
  <c r="U144" i="2"/>
  <c r="V144" i="2"/>
  <c r="W144" i="2"/>
  <c r="X144" i="2"/>
  <c r="Y144" i="2"/>
  <c r="P6" i="2"/>
  <c r="P7" i="2"/>
  <c r="P8" i="2"/>
  <c r="P20" i="2"/>
  <c r="P21" i="2"/>
  <c r="P22" i="2"/>
  <c r="P23" i="2"/>
  <c r="P35" i="2"/>
  <c r="P36" i="2"/>
  <c r="P37" i="2"/>
  <c r="P38" i="2"/>
  <c r="P51" i="2"/>
  <c r="P52" i="2"/>
  <c r="P53" i="2"/>
  <c r="P54" i="2"/>
  <c r="P66" i="2"/>
  <c r="P67" i="2"/>
  <c r="P68" i="2"/>
  <c r="P69" i="2"/>
  <c r="P81" i="2"/>
  <c r="P82" i="2"/>
  <c r="P83" i="2"/>
  <c r="P84" i="2"/>
  <c r="P96" i="2"/>
  <c r="P97" i="2"/>
  <c r="P98" i="2"/>
  <c r="P99" i="2"/>
  <c r="P111" i="2"/>
  <c r="P112" i="2"/>
  <c r="P113" i="2"/>
  <c r="P114" i="2"/>
  <c r="P126" i="2"/>
  <c r="P127" i="2"/>
  <c r="P128" i="2"/>
  <c r="P129" i="2"/>
  <c r="O6" i="2"/>
  <c r="O7" i="2"/>
  <c r="O8" i="2"/>
  <c r="O20" i="2"/>
  <c r="O21" i="2"/>
  <c r="O22" i="2"/>
  <c r="O23" i="2"/>
  <c r="O35" i="2"/>
  <c r="O36" i="2"/>
  <c r="O37" i="2"/>
  <c r="O38" i="2"/>
  <c r="O51" i="2"/>
  <c r="O52" i="2"/>
  <c r="O53" i="2"/>
  <c r="O54" i="2"/>
  <c r="O66" i="2"/>
  <c r="O67" i="2"/>
  <c r="O68" i="2"/>
  <c r="O69" i="2"/>
  <c r="O81" i="2"/>
  <c r="O82" i="2"/>
  <c r="O83" i="2"/>
  <c r="O84" i="2"/>
  <c r="O96" i="2"/>
  <c r="O97" i="2"/>
  <c r="O98" i="2"/>
  <c r="O99" i="2"/>
  <c r="O111" i="2"/>
  <c r="O112" i="2"/>
  <c r="O113" i="2"/>
  <c r="O114" i="2"/>
  <c r="O126" i="2"/>
  <c r="O127" i="2"/>
  <c r="O128" i="2"/>
  <c r="O129" i="2"/>
  <c r="O5" i="2"/>
  <c r="Q20" i="2"/>
  <c r="R20" i="2"/>
  <c r="S20" i="2"/>
  <c r="T20" i="2"/>
  <c r="U20" i="2"/>
  <c r="V20" i="2"/>
  <c r="W20" i="2"/>
  <c r="X20" i="2"/>
  <c r="Y20" i="2"/>
  <c r="Q21" i="2"/>
  <c r="R21" i="2"/>
  <c r="S21" i="2"/>
  <c r="T21" i="2"/>
  <c r="U21" i="2"/>
  <c r="V21" i="2"/>
  <c r="W21" i="2"/>
  <c r="X21" i="2"/>
  <c r="Y21" i="2"/>
  <c r="Q22" i="2"/>
  <c r="R22" i="2"/>
  <c r="S22" i="2"/>
  <c r="T22" i="2"/>
  <c r="U22" i="2"/>
  <c r="V22" i="2"/>
  <c r="W22" i="2"/>
  <c r="X22" i="2"/>
  <c r="Y22" i="2"/>
  <c r="Q23" i="2"/>
  <c r="R23" i="2"/>
  <c r="S23" i="2"/>
  <c r="T23" i="2"/>
  <c r="U23" i="2"/>
  <c r="V23" i="2"/>
  <c r="W23" i="2"/>
  <c r="X23" i="2"/>
  <c r="Y23" i="2"/>
  <c r="Q35" i="2"/>
  <c r="R35" i="2"/>
  <c r="S35" i="2"/>
  <c r="T35" i="2"/>
  <c r="U35" i="2"/>
  <c r="V35" i="2"/>
  <c r="W35" i="2"/>
  <c r="X35" i="2"/>
  <c r="Y35" i="2"/>
  <c r="Q36" i="2"/>
  <c r="R36" i="2"/>
  <c r="S36" i="2"/>
  <c r="T36" i="2"/>
  <c r="U36" i="2"/>
  <c r="V36" i="2"/>
  <c r="W36" i="2"/>
  <c r="X36" i="2"/>
  <c r="Y36" i="2"/>
  <c r="Q37" i="2"/>
  <c r="R37" i="2"/>
  <c r="S37" i="2"/>
  <c r="T37" i="2"/>
  <c r="U37" i="2"/>
  <c r="V37" i="2"/>
  <c r="W37" i="2"/>
  <c r="X37" i="2"/>
  <c r="Y37" i="2"/>
  <c r="Q38" i="2"/>
  <c r="R38" i="2"/>
  <c r="S38" i="2"/>
  <c r="T38" i="2"/>
  <c r="U38" i="2"/>
  <c r="V38" i="2"/>
  <c r="W38" i="2"/>
  <c r="X38" i="2"/>
  <c r="Y38" i="2"/>
  <c r="Q51" i="2"/>
  <c r="R51" i="2"/>
  <c r="S51" i="2"/>
  <c r="T51" i="2"/>
  <c r="U51" i="2"/>
  <c r="V51" i="2"/>
  <c r="W51" i="2"/>
  <c r="X51" i="2"/>
  <c r="Y51" i="2"/>
  <c r="Q52" i="2"/>
  <c r="R52" i="2"/>
  <c r="S52" i="2"/>
  <c r="T52" i="2"/>
  <c r="U52" i="2"/>
  <c r="V52" i="2"/>
  <c r="W52" i="2"/>
  <c r="X52" i="2"/>
  <c r="Y52" i="2"/>
  <c r="Q53" i="2"/>
  <c r="R53" i="2"/>
  <c r="S53" i="2"/>
  <c r="T53" i="2"/>
  <c r="U53" i="2"/>
  <c r="V53" i="2"/>
  <c r="W53" i="2"/>
  <c r="X53" i="2"/>
  <c r="Y53" i="2"/>
  <c r="Q54" i="2"/>
  <c r="R54" i="2"/>
  <c r="S54" i="2"/>
  <c r="T54" i="2"/>
  <c r="U54" i="2"/>
  <c r="V54" i="2"/>
  <c r="W54" i="2"/>
  <c r="X54" i="2"/>
  <c r="Y54" i="2"/>
  <c r="Q66" i="2"/>
  <c r="R66" i="2"/>
  <c r="S66" i="2"/>
  <c r="T66" i="2"/>
  <c r="U66" i="2"/>
  <c r="V66" i="2"/>
  <c r="W66" i="2"/>
  <c r="X66" i="2"/>
  <c r="Y66" i="2"/>
  <c r="Q67" i="2"/>
  <c r="R67" i="2"/>
  <c r="S67" i="2"/>
  <c r="T67" i="2"/>
  <c r="U67" i="2"/>
  <c r="V67" i="2"/>
  <c r="W67" i="2"/>
  <c r="X67" i="2"/>
  <c r="Y67" i="2"/>
  <c r="Q68" i="2"/>
  <c r="R68" i="2"/>
  <c r="S68" i="2"/>
  <c r="T68" i="2"/>
  <c r="U68" i="2"/>
  <c r="V68" i="2"/>
  <c r="W68" i="2"/>
  <c r="X68" i="2"/>
  <c r="Y68" i="2"/>
  <c r="Q69" i="2"/>
  <c r="R69" i="2"/>
  <c r="S69" i="2"/>
  <c r="T69" i="2"/>
  <c r="U69" i="2"/>
  <c r="V69" i="2"/>
  <c r="W69" i="2"/>
  <c r="X69" i="2"/>
  <c r="Y69" i="2"/>
  <c r="Q81" i="2"/>
  <c r="R81" i="2"/>
  <c r="S81" i="2"/>
  <c r="T81" i="2"/>
  <c r="U81" i="2"/>
  <c r="V81" i="2"/>
  <c r="W81" i="2"/>
  <c r="X81" i="2"/>
  <c r="Y81" i="2"/>
  <c r="Q82" i="2"/>
  <c r="R82" i="2"/>
  <c r="S82" i="2"/>
  <c r="T82" i="2"/>
  <c r="U82" i="2"/>
  <c r="V82" i="2"/>
  <c r="W82" i="2"/>
  <c r="X82" i="2"/>
  <c r="Y82" i="2"/>
  <c r="Q83" i="2"/>
  <c r="R83" i="2"/>
  <c r="S83" i="2"/>
  <c r="T83" i="2"/>
  <c r="U83" i="2"/>
  <c r="V83" i="2"/>
  <c r="W83" i="2"/>
  <c r="X83" i="2"/>
  <c r="Y83" i="2"/>
  <c r="Q84" i="2"/>
  <c r="R84" i="2"/>
  <c r="S84" i="2"/>
  <c r="T84" i="2"/>
  <c r="U84" i="2"/>
  <c r="V84" i="2"/>
  <c r="W84" i="2"/>
  <c r="X84" i="2"/>
  <c r="Y84" i="2"/>
  <c r="Q96" i="2"/>
  <c r="R96" i="2"/>
  <c r="S96" i="2"/>
  <c r="T96" i="2"/>
  <c r="U96" i="2"/>
  <c r="V96" i="2"/>
  <c r="W96" i="2"/>
  <c r="X96" i="2"/>
  <c r="Y96" i="2"/>
  <c r="Q97" i="2"/>
  <c r="R97" i="2"/>
  <c r="S97" i="2"/>
  <c r="T97" i="2"/>
  <c r="U97" i="2"/>
  <c r="V97" i="2"/>
  <c r="W97" i="2"/>
  <c r="X97" i="2"/>
  <c r="Y97" i="2"/>
  <c r="Q98" i="2"/>
  <c r="R98" i="2"/>
  <c r="S98" i="2"/>
  <c r="T98" i="2"/>
  <c r="U98" i="2"/>
  <c r="V98" i="2"/>
  <c r="W98" i="2"/>
  <c r="X98" i="2"/>
  <c r="Y98" i="2"/>
  <c r="Q99" i="2"/>
  <c r="R99" i="2"/>
  <c r="S99" i="2"/>
  <c r="T99" i="2"/>
  <c r="U99" i="2"/>
  <c r="V99" i="2"/>
  <c r="W99" i="2"/>
  <c r="X99" i="2"/>
  <c r="Y99" i="2"/>
  <c r="Q111" i="2"/>
  <c r="R111" i="2"/>
  <c r="S111" i="2"/>
  <c r="T111" i="2"/>
  <c r="U111" i="2"/>
  <c r="V111" i="2"/>
  <c r="W111" i="2"/>
  <c r="X111" i="2"/>
  <c r="Y111" i="2"/>
  <c r="Q112" i="2"/>
  <c r="R112" i="2"/>
  <c r="S112" i="2"/>
  <c r="T112" i="2"/>
  <c r="U112" i="2"/>
  <c r="V112" i="2"/>
  <c r="W112" i="2"/>
  <c r="X112" i="2"/>
  <c r="Y112" i="2"/>
  <c r="Q113" i="2"/>
  <c r="R113" i="2"/>
  <c r="S113" i="2"/>
  <c r="T113" i="2"/>
  <c r="U113" i="2"/>
  <c r="V113" i="2"/>
  <c r="W113" i="2"/>
  <c r="X113" i="2"/>
  <c r="Y113" i="2"/>
  <c r="Q114" i="2"/>
  <c r="R114" i="2"/>
  <c r="S114" i="2"/>
  <c r="T114" i="2"/>
  <c r="U114" i="2"/>
  <c r="V114" i="2"/>
  <c r="W114" i="2"/>
  <c r="X114" i="2"/>
  <c r="Y114" i="2"/>
  <c r="Q126" i="2"/>
  <c r="R126" i="2"/>
  <c r="S126" i="2"/>
  <c r="T126" i="2"/>
  <c r="U126" i="2"/>
  <c r="V126" i="2"/>
  <c r="W126" i="2"/>
  <c r="X126" i="2"/>
  <c r="Y126" i="2"/>
  <c r="Q127" i="2"/>
  <c r="R127" i="2"/>
  <c r="S127" i="2"/>
  <c r="T127" i="2"/>
  <c r="U127" i="2"/>
  <c r="V127" i="2"/>
  <c r="W127" i="2"/>
  <c r="X127" i="2"/>
  <c r="Y127" i="2"/>
  <c r="Q128" i="2"/>
  <c r="R128" i="2"/>
  <c r="S128" i="2"/>
  <c r="T128" i="2"/>
  <c r="U128" i="2"/>
  <c r="V128" i="2"/>
  <c r="W128" i="2"/>
  <c r="X128" i="2"/>
  <c r="Y128" i="2"/>
  <c r="Q129" i="2"/>
  <c r="R129" i="2"/>
  <c r="S129" i="2"/>
  <c r="T129" i="2"/>
  <c r="U129" i="2"/>
  <c r="V129" i="2"/>
  <c r="W129" i="2"/>
  <c r="X129" i="2"/>
  <c r="Y129" i="2"/>
  <c r="W6" i="2"/>
  <c r="X6" i="2"/>
  <c r="Y6" i="2"/>
  <c r="W7" i="2"/>
  <c r="X7" i="2"/>
  <c r="Y7" i="2"/>
  <c r="W8" i="2"/>
  <c r="X8" i="2"/>
  <c r="Y8" i="2"/>
  <c r="W5" i="2"/>
  <c r="Q6" i="2"/>
  <c r="R6" i="2"/>
  <c r="S6" i="2"/>
  <c r="Q7" i="2"/>
  <c r="R7" i="2"/>
  <c r="S7" i="2"/>
  <c r="Q8" i="2"/>
  <c r="R8" i="2"/>
  <c r="S8" i="2"/>
  <c r="T6" i="2"/>
  <c r="U6" i="2"/>
  <c r="V6" i="2"/>
  <c r="T7" i="2"/>
  <c r="U7" i="2"/>
  <c r="V7" i="2"/>
  <c r="T8" i="2"/>
  <c r="U8" i="2"/>
  <c r="V8" i="2"/>
  <c r="V5" i="2"/>
  <c r="T5" i="2"/>
  <c r="W374" i="1"/>
  <c r="W377" i="1"/>
  <c r="W380" i="1"/>
  <c r="W383" i="1"/>
  <c r="W386" i="1"/>
  <c r="W389" i="1"/>
  <c r="W392" i="1"/>
  <c r="W395" i="1"/>
  <c r="W398" i="1"/>
  <c r="W401" i="1"/>
  <c r="W404" i="1"/>
  <c r="W371" i="1"/>
  <c r="N401" i="1"/>
  <c r="O401" i="1"/>
  <c r="P401" i="1"/>
  <c r="Q401" i="1"/>
  <c r="R401" i="1"/>
  <c r="S401" i="1"/>
  <c r="T401" i="1"/>
  <c r="U401" i="1"/>
  <c r="V401" i="1"/>
  <c r="X401" i="1"/>
  <c r="Y401" i="1"/>
  <c r="N404" i="1"/>
  <c r="O404" i="1"/>
  <c r="P404" i="1"/>
  <c r="Q404" i="1"/>
  <c r="R404" i="1"/>
  <c r="S404" i="1"/>
  <c r="T404" i="1"/>
  <c r="U404" i="1"/>
  <c r="V404" i="1"/>
  <c r="X404" i="1"/>
  <c r="Y404" i="1"/>
  <c r="N383" i="1"/>
  <c r="O383" i="1"/>
  <c r="P383" i="1"/>
  <c r="Q383" i="1"/>
  <c r="R383" i="1"/>
  <c r="S383" i="1"/>
  <c r="T383" i="1"/>
  <c r="U383" i="1"/>
  <c r="V383" i="1"/>
  <c r="X383" i="1"/>
  <c r="Y383" i="1"/>
  <c r="N386" i="1"/>
  <c r="O386" i="1"/>
  <c r="P386" i="1"/>
  <c r="Q386" i="1"/>
  <c r="R386" i="1"/>
  <c r="S386" i="1"/>
  <c r="T386" i="1"/>
  <c r="U386" i="1"/>
  <c r="V386" i="1"/>
  <c r="X386" i="1"/>
  <c r="Y386" i="1"/>
  <c r="N389" i="1"/>
  <c r="O389" i="1"/>
  <c r="P389" i="1"/>
  <c r="Q389" i="1"/>
  <c r="R389" i="1"/>
  <c r="S389" i="1"/>
  <c r="T389" i="1"/>
  <c r="U389" i="1"/>
  <c r="V389" i="1"/>
  <c r="X389" i="1"/>
  <c r="Y389" i="1"/>
  <c r="N392" i="1"/>
  <c r="O392" i="1"/>
  <c r="P392" i="1"/>
  <c r="Q392" i="1"/>
  <c r="R392" i="1"/>
  <c r="S392" i="1"/>
  <c r="T392" i="1"/>
  <c r="U392" i="1"/>
  <c r="V392" i="1"/>
  <c r="X392" i="1"/>
  <c r="Y392" i="1"/>
  <c r="N395" i="1"/>
  <c r="O395" i="1"/>
  <c r="P395" i="1"/>
  <c r="Q395" i="1"/>
  <c r="R395" i="1"/>
  <c r="S395" i="1"/>
  <c r="T395" i="1"/>
  <c r="U395" i="1"/>
  <c r="V395" i="1"/>
  <c r="X395" i="1"/>
  <c r="Y395" i="1"/>
  <c r="N398" i="1"/>
  <c r="O398" i="1"/>
  <c r="P398" i="1"/>
  <c r="Q398" i="1"/>
  <c r="R398" i="1"/>
  <c r="S398" i="1"/>
  <c r="T398" i="1"/>
  <c r="U398" i="1"/>
  <c r="V398" i="1"/>
  <c r="X398" i="1"/>
  <c r="Y398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N371" i="1"/>
  <c r="O371" i="1"/>
  <c r="P371" i="1"/>
  <c r="Q371" i="1"/>
  <c r="R371" i="1"/>
  <c r="S371" i="1"/>
  <c r="T371" i="1"/>
  <c r="U371" i="1"/>
  <c r="V371" i="1"/>
  <c r="X371" i="1"/>
  <c r="Y371" i="1"/>
  <c r="N374" i="1"/>
  <c r="O374" i="1"/>
  <c r="P374" i="1"/>
  <c r="Q374" i="1"/>
  <c r="R374" i="1"/>
  <c r="S374" i="1"/>
  <c r="T374" i="1"/>
  <c r="U374" i="1"/>
  <c r="V374" i="1"/>
  <c r="X374" i="1"/>
  <c r="Y374" i="1"/>
  <c r="N377" i="1"/>
  <c r="O377" i="1"/>
  <c r="P377" i="1"/>
  <c r="Q377" i="1"/>
  <c r="R377" i="1"/>
  <c r="S377" i="1"/>
  <c r="T377" i="1"/>
  <c r="U377" i="1"/>
  <c r="V377" i="1"/>
  <c r="X377" i="1"/>
  <c r="Y377" i="1"/>
  <c r="N380" i="1"/>
  <c r="O380" i="1"/>
  <c r="P380" i="1"/>
  <c r="Q380" i="1"/>
  <c r="R380" i="1"/>
  <c r="S380" i="1"/>
  <c r="T380" i="1"/>
  <c r="U380" i="1"/>
  <c r="V380" i="1"/>
  <c r="X380" i="1"/>
  <c r="Y380" i="1"/>
  <c r="W302" i="1"/>
  <c r="W307" i="1"/>
  <c r="W312" i="1"/>
  <c r="W317" i="1"/>
  <c r="W322" i="1"/>
  <c r="W327" i="1"/>
  <c r="W332" i="1"/>
  <c r="W337" i="1"/>
  <c r="W342" i="1"/>
  <c r="W347" i="1"/>
  <c r="W352" i="1"/>
  <c r="W297" i="1"/>
  <c r="N337" i="1"/>
  <c r="O337" i="1"/>
  <c r="P337" i="1"/>
  <c r="Q337" i="1"/>
  <c r="R337" i="1"/>
  <c r="S337" i="1"/>
  <c r="T337" i="1"/>
  <c r="U337" i="1"/>
  <c r="V337" i="1"/>
  <c r="X337" i="1"/>
  <c r="Y337" i="1"/>
  <c r="N342" i="1"/>
  <c r="O342" i="1"/>
  <c r="P342" i="1"/>
  <c r="Q342" i="1"/>
  <c r="R342" i="1"/>
  <c r="S342" i="1"/>
  <c r="T342" i="1"/>
  <c r="U342" i="1"/>
  <c r="V342" i="1"/>
  <c r="X342" i="1"/>
  <c r="Y342" i="1"/>
  <c r="N347" i="1"/>
  <c r="O347" i="1"/>
  <c r="P347" i="1"/>
  <c r="Q347" i="1"/>
  <c r="R347" i="1"/>
  <c r="S347" i="1"/>
  <c r="T347" i="1"/>
  <c r="U347" i="1"/>
  <c r="V347" i="1"/>
  <c r="X347" i="1"/>
  <c r="Y347" i="1"/>
  <c r="N352" i="1"/>
  <c r="O352" i="1"/>
  <c r="P352" i="1"/>
  <c r="Q352" i="1"/>
  <c r="R352" i="1"/>
  <c r="S352" i="1"/>
  <c r="T352" i="1"/>
  <c r="U352" i="1"/>
  <c r="V352" i="1"/>
  <c r="X352" i="1"/>
  <c r="Y352" i="1"/>
  <c r="N317" i="1"/>
  <c r="O317" i="1"/>
  <c r="P317" i="1"/>
  <c r="Q317" i="1"/>
  <c r="R317" i="1"/>
  <c r="S317" i="1"/>
  <c r="T317" i="1"/>
  <c r="U317" i="1"/>
  <c r="V317" i="1"/>
  <c r="X317" i="1"/>
  <c r="Y317" i="1"/>
  <c r="N322" i="1"/>
  <c r="O322" i="1"/>
  <c r="P322" i="1"/>
  <c r="Q322" i="1"/>
  <c r="R322" i="1"/>
  <c r="S322" i="1"/>
  <c r="T322" i="1"/>
  <c r="U322" i="1"/>
  <c r="V322" i="1"/>
  <c r="X322" i="1"/>
  <c r="Y322" i="1"/>
  <c r="N327" i="1"/>
  <c r="O327" i="1"/>
  <c r="P327" i="1"/>
  <c r="Q327" i="1"/>
  <c r="R327" i="1"/>
  <c r="S327" i="1"/>
  <c r="T327" i="1"/>
  <c r="U327" i="1"/>
  <c r="V327" i="1"/>
  <c r="X327" i="1"/>
  <c r="Y327" i="1"/>
  <c r="N332" i="1"/>
  <c r="O332" i="1"/>
  <c r="P332" i="1"/>
  <c r="Q332" i="1"/>
  <c r="R332" i="1"/>
  <c r="S332" i="1"/>
  <c r="T332" i="1"/>
  <c r="U332" i="1"/>
  <c r="V332" i="1"/>
  <c r="X332" i="1"/>
  <c r="Y332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N297" i="1"/>
  <c r="O297" i="1"/>
  <c r="P297" i="1"/>
  <c r="Q297" i="1"/>
  <c r="R297" i="1"/>
  <c r="S297" i="1"/>
  <c r="T297" i="1"/>
  <c r="U297" i="1"/>
  <c r="V297" i="1"/>
  <c r="X297" i="1"/>
  <c r="Y297" i="1"/>
  <c r="N302" i="1"/>
  <c r="O302" i="1"/>
  <c r="P302" i="1"/>
  <c r="Q302" i="1"/>
  <c r="R302" i="1"/>
  <c r="S302" i="1"/>
  <c r="T302" i="1"/>
  <c r="U302" i="1"/>
  <c r="V302" i="1"/>
  <c r="X302" i="1"/>
  <c r="Y302" i="1"/>
  <c r="N307" i="1"/>
  <c r="O307" i="1"/>
  <c r="P307" i="1"/>
  <c r="Q307" i="1"/>
  <c r="R307" i="1"/>
  <c r="S307" i="1"/>
  <c r="T307" i="1"/>
  <c r="U307" i="1"/>
  <c r="V307" i="1"/>
  <c r="X307" i="1"/>
  <c r="Y307" i="1"/>
  <c r="N312" i="1"/>
  <c r="O312" i="1"/>
  <c r="P312" i="1"/>
  <c r="Q312" i="1"/>
  <c r="R312" i="1"/>
  <c r="S312" i="1"/>
  <c r="T312" i="1"/>
  <c r="U312" i="1"/>
  <c r="V312" i="1"/>
  <c r="X312" i="1"/>
  <c r="Y312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N98" i="1"/>
  <c r="O98" i="1"/>
  <c r="P98" i="1"/>
  <c r="Q98" i="1"/>
  <c r="R98" i="1"/>
  <c r="S98" i="1"/>
  <c r="T98" i="1"/>
  <c r="U98" i="1"/>
  <c r="V98" i="1"/>
  <c r="W98" i="1"/>
  <c r="X98" i="1"/>
  <c r="Y98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N79" i="1"/>
  <c r="O79" i="1"/>
  <c r="P79" i="1"/>
  <c r="Q79" i="1"/>
  <c r="R79" i="1"/>
  <c r="S79" i="1"/>
  <c r="T79" i="1"/>
  <c r="U79" i="1"/>
  <c r="V79" i="1"/>
  <c r="W79" i="1"/>
  <c r="X79" i="1"/>
  <c r="Y79" i="1"/>
  <c r="N82" i="1"/>
  <c r="O82" i="1"/>
  <c r="P82" i="1"/>
  <c r="Q82" i="1"/>
  <c r="R82" i="1"/>
  <c r="S82" i="1"/>
  <c r="T82" i="1"/>
  <c r="U82" i="1"/>
  <c r="V82" i="1"/>
  <c r="W82" i="1"/>
  <c r="X82" i="1"/>
  <c r="Y82" i="1"/>
  <c r="N85" i="1"/>
  <c r="O85" i="1"/>
  <c r="P85" i="1"/>
  <c r="Q85" i="1"/>
  <c r="R85" i="1"/>
  <c r="S85" i="1"/>
  <c r="T85" i="1"/>
  <c r="U85" i="1"/>
  <c r="V85" i="1"/>
  <c r="W85" i="1"/>
  <c r="X85" i="1"/>
  <c r="Y85" i="1"/>
  <c r="N88" i="1"/>
  <c r="O88" i="1"/>
  <c r="P88" i="1"/>
  <c r="Q88" i="1"/>
  <c r="R88" i="1"/>
  <c r="S88" i="1"/>
  <c r="T88" i="1"/>
  <c r="U88" i="1"/>
  <c r="V88" i="1"/>
  <c r="W88" i="1"/>
  <c r="X88" i="1"/>
  <c r="Y88" i="1"/>
  <c r="N90" i="1"/>
  <c r="O90" i="1"/>
  <c r="P90" i="1"/>
  <c r="Q90" i="1"/>
  <c r="R90" i="1"/>
  <c r="S90" i="1"/>
  <c r="T90" i="1"/>
  <c r="U90" i="1"/>
  <c r="V90" i="1"/>
  <c r="W90" i="1"/>
  <c r="X90" i="1"/>
  <c r="Y90" i="1"/>
  <c r="N94" i="1"/>
  <c r="O94" i="1"/>
  <c r="P94" i="1"/>
  <c r="Q94" i="1"/>
  <c r="R94" i="1"/>
  <c r="S94" i="1"/>
  <c r="T94" i="1"/>
  <c r="U94" i="1"/>
  <c r="V94" i="1"/>
  <c r="W94" i="1"/>
  <c r="X94" i="1"/>
  <c r="Y94" i="1"/>
  <c r="N67" i="1"/>
  <c r="O67" i="1"/>
  <c r="P67" i="1"/>
  <c r="Q67" i="1"/>
  <c r="R67" i="1"/>
  <c r="S67" i="1"/>
  <c r="T67" i="1"/>
  <c r="U67" i="1"/>
  <c r="V67" i="1"/>
  <c r="W67" i="1"/>
  <c r="X67" i="1"/>
  <c r="Y67" i="1"/>
  <c r="N70" i="1"/>
  <c r="O70" i="1"/>
  <c r="P70" i="1"/>
  <c r="Q70" i="1"/>
  <c r="R70" i="1"/>
  <c r="S70" i="1"/>
  <c r="T70" i="1"/>
  <c r="U70" i="1"/>
  <c r="V70" i="1"/>
  <c r="W70" i="1"/>
  <c r="X70" i="1"/>
  <c r="Y70" i="1"/>
  <c r="N73" i="1"/>
  <c r="O73" i="1"/>
  <c r="P73" i="1"/>
  <c r="Q73" i="1"/>
  <c r="R73" i="1"/>
  <c r="S73" i="1"/>
  <c r="T73" i="1"/>
  <c r="U73" i="1"/>
  <c r="V73" i="1"/>
  <c r="W73" i="1"/>
  <c r="X73" i="1"/>
  <c r="Y73" i="1"/>
  <c r="N76" i="1"/>
  <c r="O76" i="1"/>
  <c r="P76" i="1"/>
  <c r="Q76" i="1"/>
  <c r="R76" i="1"/>
  <c r="S76" i="1"/>
  <c r="T76" i="1"/>
  <c r="U76" i="1"/>
  <c r="V76" i="1"/>
  <c r="W76" i="1"/>
  <c r="X76" i="1"/>
  <c r="Y76" i="1"/>
  <c r="N50" i="1"/>
  <c r="O50" i="1"/>
  <c r="P50" i="1"/>
  <c r="Q50" i="1"/>
  <c r="R50" i="1"/>
  <c r="S50" i="1"/>
  <c r="T50" i="1"/>
  <c r="U50" i="1"/>
  <c r="V50" i="1"/>
  <c r="W50" i="1"/>
  <c r="X50" i="1"/>
  <c r="Y50" i="1"/>
  <c r="N52" i="1"/>
  <c r="O52" i="1"/>
  <c r="P52" i="1"/>
  <c r="Q52" i="1"/>
  <c r="R52" i="1"/>
  <c r="S52" i="1"/>
  <c r="T52" i="1"/>
  <c r="U52" i="1"/>
  <c r="V52" i="1"/>
  <c r="W52" i="1"/>
  <c r="X52" i="1"/>
  <c r="Y52" i="1"/>
  <c r="N55" i="1"/>
  <c r="O55" i="1"/>
  <c r="P55" i="1"/>
  <c r="Q55" i="1"/>
  <c r="R55" i="1"/>
  <c r="S55" i="1"/>
  <c r="T55" i="1"/>
  <c r="U55" i="1"/>
  <c r="V55" i="1"/>
  <c r="W55" i="1"/>
  <c r="X55" i="1"/>
  <c r="Y55" i="1"/>
  <c r="N58" i="1"/>
  <c r="O58" i="1"/>
  <c r="P58" i="1"/>
  <c r="Q58" i="1"/>
  <c r="R58" i="1"/>
  <c r="S58" i="1"/>
  <c r="T58" i="1"/>
  <c r="U58" i="1"/>
  <c r="V58" i="1"/>
  <c r="W58" i="1"/>
  <c r="X58" i="1"/>
  <c r="Y58" i="1"/>
  <c r="N61" i="1"/>
  <c r="O61" i="1"/>
  <c r="P61" i="1"/>
  <c r="Q61" i="1"/>
  <c r="R61" i="1"/>
  <c r="S61" i="1"/>
  <c r="T61" i="1"/>
  <c r="U61" i="1"/>
  <c r="V61" i="1"/>
  <c r="W61" i="1"/>
  <c r="X61" i="1"/>
  <c r="Y61" i="1"/>
  <c r="N64" i="1"/>
  <c r="O64" i="1"/>
  <c r="P64" i="1"/>
  <c r="Q64" i="1"/>
  <c r="R64" i="1"/>
  <c r="S64" i="1"/>
  <c r="T64" i="1"/>
  <c r="U64" i="1"/>
  <c r="V64" i="1"/>
  <c r="W64" i="1"/>
  <c r="X64" i="1"/>
  <c r="Y64" i="1"/>
  <c r="X38" i="1"/>
  <c r="X42" i="1"/>
  <c r="X46" i="1"/>
  <c r="X6" i="1"/>
  <c r="X10" i="1"/>
  <c r="X14" i="1"/>
  <c r="X18" i="1"/>
  <c r="X22" i="1"/>
  <c r="X26" i="1"/>
  <c r="X30" i="1"/>
  <c r="X34" i="1"/>
  <c r="X2" i="1"/>
  <c r="N6" i="1"/>
  <c r="O6" i="1"/>
  <c r="P6" i="1"/>
  <c r="Q6" i="1"/>
  <c r="R6" i="1"/>
  <c r="S6" i="1"/>
  <c r="T6" i="1"/>
  <c r="U6" i="1"/>
  <c r="V6" i="1"/>
  <c r="W6" i="1"/>
  <c r="Y6" i="1"/>
  <c r="N10" i="1"/>
  <c r="O10" i="1"/>
  <c r="P10" i="1"/>
  <c r="Q10" i="1"/>
  <c r="R10" i="1"/>
  <c r="S10" i="1"/>
  <c r="T10" i="1"/>
  <c r="U10" i="1"/>
  <c r="V10" i="1"/>
  <c r="W10" i="1"/>
  <c r="Y10" i="1"/>
  <c r="N14" i="1"/>
  <c r="O14" i="1"/>
  <c r="P14" i="1"/>
  <c r="Q14" i="1"/>
  <c r="R14" i="1"/>
  <c r="S14" i="1"/>
  <c r="T14" i="1"/>
  <c r="U14" i="1"/>
  <c r="V14" i="1"/>
  <c r="W14" i="1"/>
  <c r="Y14" i="1"/>
  <c r="N18" i="1"/>
  <c r="O18" i="1"/>
  <c r="P18" i="1"/>
  <c r="Q18" i="1"/>
  <c r="R18" i="1"/>
  <c r="S18" i="1"/>
  <c r="T18" i="1"/>
  <c r="U18" i="1"/>
  <c r="V18" i="1"/>
  <c r="W18" i="1"/>
  <c r="Y18" i="1"/>
  <c r="N22" i="1"/>
  <c r="O22" i="1"/>
  <c r="P22" i="1"/>
  <c r="Q22" i="1"/>
  <c r="R22" i="1"/>
  <c r="S22" i="1"/>
  <c r="T22" i="1"/>
  <c r="U22" i="1"/>
  <c r="V22" i="1"/>
  <c r="W22" i="1"/>
  <c r="Y22" i="1"/>
  <c r="N26" i="1"/>
  <c r="O26" i="1"/>
  <c r="P26" i="1"/>
  <c r="Q26" i="1"/>
  <c r="R26" i="1"/>
  <c r="S26" i="1"/>
  <c r="T26" i="1"/>
  <c r="U26" i="1"/>
  <c r="V26" i="1"/>
  <c r="W26" i="1"/>
  <c r="Y26" i="1"/>
  <c r="N30" i="1"/>
  <c r="O30" i="1"/>
  <c r="P30" i="1"/>
  <c r="Q30" i="1"/>
  <c r="R30" i="1"/>
  <c r="S30" i="1"/>
  <c r="T30" i="1"/>
  <c r="U30" i="1"/>
  <c r="V30" i="1"/>
  <c r="W30" i="1"/>
  <c r="Y30" i="1"/>
  <c r="N34" i="1"/>
  <c r="O34" i="1"/>
  <c r="P34" i="1"/>
  <c r="Q34" i="1"/>
  <c r="R34" i="1"/>
  <c r="S34" i="1"/>
  <c r="T34" i="1"/>
  <c r="U34" i="1"/>
  <c r="V34" i="1"/>
  <c r="W34" i="1"/>
  <c r="Y34" i="1"/>
  <c r="N38" i="1"/>
  <c r="O38" i="1"/>
  <c r="P38" i="1"/>
  <c r="Q38" i="1"/>
  <c r="R38" i="1"/>
  <c r="S38" i="1"/>
  <c r="T38" i="1"/>
  <c r="U38" i="1"/>
  <c r="V38" i="1"/>
  <c r="W38" i="1"/>
  <c r="Y38" i="1"/>
  <c r="N42" i="1"/>
  <c r="O42" i="1"/>
  <c r="P42" i="1"/>
  <c r="Q42" i="1"/>
  <c r="R42" i="1"/>
  <c r="S42" i="1"/>
  <c r="T42" i="1"/>
  <c r="U42" i="1"/>
  <c r="V42" i="1"/>
  <c r="W42" i="1"/>
  <c r="Y42" i="1"/>
  <c r="N46" i="1"/>
  <c r="O46" i="1"/>
  <c r="P46" i="1"/>
  <c r="Q46" i="1"/>
  <c r="R46" i="1"/>
  <c r="S46" i="1"/>
  <c r="T46" i="1"/>
  <c r="U46" i="1"/>
  <c r="V46" i="1"/>
  <c r="W46" i="1"/>
  <c r="Y46" i="1"/>
  <c r="W2" i="1"/>
  <c r="O2" i="1"/>
  <c r="P2" i="1"/>
  <c r="Q2" i="1"/>
  <c r="R2" i="1"/>
  <c r="S2" i="1"/>
  <c r="T2" i="1"/>
  <c r="U2" i="1"/>
  <c r="V2" i="1"/>
  <c r="Y2" i="1"/>
  <c r="N2" i="1"/>
  <c r="Q180" i="2" l="1"/>
  <c r="Q179" i="2"/>
  <c r="Q181" i="2"/>
  <c r="Q182" i="2"/>
  <c r="T172" i="2"/>
  <c r="Q183" i="2"/>
  <c r="Q185" i="2"/>
  <c r="Q186" i="2"/>
  <c r="Q187" i="2"/>
  <c r="W172" i="2"/>
  <c r="Q177" i="2"/>
  <c r="Q188" i="2"/>
  <c r="Q190" i="2"/>
  <c r="Q189" i="2"/>
  <c r="U172" i="2"/>
  <c r="O172" i="2"/>
  <c r="P172" i="2"/>
  <c r="Q172" i="2"/>
  <c r="R172" i="2"/>
  <c r="X172" i="2"/>
  <c r="V172" i="2"/>
  <c r="S172" i="2"/>
  <c r="Y172" i="2"/>
</calcChain>
</file>

<file path=xl/sharedStrings.xml><?xml version="1.0" encoding="utf-8"?>
<sst xmlns="http://schemas.openxmlformats.org/spreadsheetml/2006/main" count="1896" uniqueCount="480">
  <si>
    <t>名次</t>
  </si>
  <si>
    <t>馬號</t>
  </si>
  <si>
    <t>馬名</t>
  </si>
  <si>
    <t>騎師</t>
  </si>
  <si>
    <t>練馬師</t>
  </si>
  <si>
    <t>實際</t>
  </si>
  <si>
    <t>排位</t>
  </si>
  <si>
    <t>檔位</t>
  </si>
  <si>
    <t>頭馬</t>
  </si>
  <si>
    <t>沿途</t>
  </si>
  <si>
    <t>完成</t>
  </si>
  <si>
    <t>獨贏</t>
  </si>
  <si>
    <t>負磅</t>
  </si>
  <si>
    <t>體重</t>
  </si>
  <si>
    <t>距離</t>
  </si>
  <si>
    <t>走位</t>
  </si>
  <si>
    <t>時間</t>
  </si>
  <si>
    <t>賠率</t>
  </si>
  <si>
    <r>
      <t>紅磚戰士</t>
    </r>
    <r>
      <rPr>
        <u/>
        <sz val="12"/>
        <color theme="10"/>
        <rFont val="新細明體"/>
        <family val="1"/>
        <charset val="136"/>
        <scheme val="minor"/>
      </rPr>
      <t> (K580)</t>
    </r>
  </si>
  <si>
    <t>周俊樂</t>
  </si>
  <si>
    <t>游達榮</t>
  </si>
  <si>
    <t>---</t>
  </si>
  <si>
    <r>
      <t>東方魅影</t>
    </r>
    <r>
      <rPr>
        <u/>
        <sz val="12"/>
        <color theme="10"/>
        <rFont val="新細明體"/>
        <family val="1"/>
        <charset val="136"/>
        <scheme val="minor"/>
      </rPr>
      <t> (K028)</t>
    </r>
  </si>
  <si>
    <t>潘頓</t>
  </si>
  <si>
    <t>大衛希斯</t>
  </si>
  <si>
    <t>頸位</t>
  </si>
  <si>
    <r>
      <t>威威父子</t>
    </r>
    <r>
      <rPr>
        <u/>
        <sz val="12"/>
        <color theme="10"/>
        <rFont val="新細明體"/>
        <family val="1"/>
        <charset val="136"/>
        <scheme val="minor"/>
      </rPr>
      <t> (H419)</t>
    </r>
  </si>
  <si>
    <t>田泰安</t>
  </si>
  <si>
    <t>巫偉傑</t>
  </si>
  <si>
    <r>
      <t>開心三多</t>
    </r>
    <r>
      <rPr>
        <u/>
        <sz val="12"/>
        <color theme="10"/>
        <rFont val="新細明體"/>
        <family val="1"/>
        <charset val="136"/>
        <scheme val="minor"/>
      </rPr>
      <t> (H293)</t>
    </r>
  </si>
  <si>
    <t>希威森</t>
  </si>
  <si>
    <t>桂福特</t>
  </si>
  <si>
    <r>
      <t>神駒馬靈</t>
    </r>
    <r>
      <rPr>
        <u/>
        <sz val="12"/>
        <color theme="10"/>
        <rFont val="新細明體"/>
        <family val="1"/>
        <charset val="136"/>
        <scheme val="minor"/>
      </rPr>
      <t> (J162)</t>
    </r>
  </si>
  <si>
    <t>霍宏聲</t>
  </si>
  <si>
    <t>廖康銘</t>
  </si>
  <si>
    <r>
      <t>堅多福</t>
    </r>
    <r>
      <rPr>
        <u/>
        <sz val="12"/>
        <color theme="10"/>
        <rFont val="新細明體"/>
        <family val="1"/>
        <charset val="136"/>
        <scheme val="minor"/>
      </rPr>
      <t> (K306)</t>
    </r>
  </si>
  <si>
    <t>何澤堯</t>
  </si>
  <si>
    <t>方嘉柏</t>
  </si>
  <si>
    <r>
      <t>幸運同行</t>
    </r>
    <r>
      <rPr>
        <u/>
        <sz val="12"/>
        <color theme="10"/>
        <rFont val="新細明體"/>
        <family val="1"/>
        <charset val="136"/>
        <scheme val="minor"/>
      </rPr>
      <t> (J331)</t>
    </r>
  </si>
  <si>
    <t>艾兆禮</t>
  </si>
  <si>
    <t>蔡約翰</t>
  </si>
  <si>
    <r>
      <t>綫路達飛</t>
    </r>
    <r>
      <rPr>
        <u/>
        <sz val="12"/>
        <color theme="10"/>
        <rFont val="新細明體"/>
        <family val="1"/>
        <charset val="136"/>
        <scheme val="minor"/>
      </rPr>
      <t> (J501)</t>
    </r>
  </si>
  <si>
    <t>楊明綸</t>
  </si>
  <si>
    <t>蘇偉賢</t>
  </si>
  <si>
    <r>
      <t>電訊驕陽</t>
    </r>
    <r>
      <rPr>
        <u/>
        <sz val="12"/>
        <color theme="10"/>
        <rFont val="新細明體"/>
        <family val="1"/>
        <charset val="136"/>
        <scheme val="minor"/>
      </rPr>
      <t> (J332)</t>
    </r>
  </si>
  <si>
    <t>袁幸堯</t>
  </si>
  <si>
    <t>徐雨石</t>
  </si>
  <si>
    <r>
      <t>至高心得</t>
    </r>
    <r>
      <rPr>
        <u/>
        <sz val="12"/>
        <color theme="10"/>
        <rFont val="新細明體"/>
        <family val="1"/>
        <charset val="136"/>
        <scheme val="minor"/>
      </rPr>
      <t> (J395)</t>
    </r>
  </si>
  <si>
    <t>梁家俊</t>
  </si>
  <si>
    <t>韋達</t>
  </si>
  <si>
    <r>
      <t>極速滿貫</t>
    </r>
    <r>
      <rPr>
        <u/>
        <sz val="12"/>
        <color theme="10"/>
        <rFont val="新細明體"/>
        <family val="1"/>
        <charset val="136"/>
        <scheme val="minor"/>
      </rPr>
      <t> (G277)</t>
    </r>
  </si>
  <si>
    <t>奧爾民</t>
  </si>
  <si>
    <t>黎昭昇</t>
  </si>
  <si>
    <r>
      <t>一風雲</t>
    </r>
    <r>
      <rPr>
        <u/>
        <sz val="12"/>
        <color theme="10"/>
        <rFont val="新細明體"/>
        <family val="1"/>
        <charset val="136"/>
        <scheme val="minor"/>
      </rPr>
      <t> (K336)</t>
    </r>
  </si>
  <si>
    <t>金誠剛</t>
  </si>
  <si>
    <t>丁冠豪</t>
  </si>
  <si>
    <r>
      <t>比特星</t>
    </r>
    <r>
      <rPr>
        <u/>
        <sz val="12"/>
        <color theme="10"/>
        <rFont val="新細明體"/>
        <family val="1"/>
        <charset val="136"/>
        <scheme val="minor"/>
      </rPr>
      <t> (J362)</t>
    </r>
  </si>
  <si>
    <t>賀賢</t>
  </si>
  <si>
    <t> 2</t>
  </si>
  <si>
    <r>
      <t>有盈勇士</t>
    </r>
    <r>
      <rPr>
        <u/>
        <sz val="12"/>
        <color theme="10"/>
        <rFont val="新細明體"/>
        <family val="1"/>
        <charset val="136"/>
        <scheme val="minor"/>
      </rPr>
      <t> (K271)</t>
    </r>
  </si>
  <si>
    <t>沈集成</t>
  </si>
  <si>
    <t> 3</t>
  </si>
  <si>
    <r>
      <t>鄉村威龍</t>
    </r>
    <r>
      <rPr>
        <u/>
        <sz val="12"/>
        <color theme="10"/>
        <rFont val="新細明體"/>
        <family val="1"/>
        <charset val="136"/>
        <scheme val="minor"/>
      </rPr>
      <t> (L325)</t>
    </r>
  </si>
  <si>
    <t>艾道拿</t>
  </si>
  <si>
    <r>
      <t>開心五月</t>
    </r>
    <r>
      <rPr>
        <u/>
        <sz val="12"/>
        <color theme="10"/>
        <rFont val="新細明體"/>
        <family val="1"/>
        <charset val="136"/>
        <scheme val="minor"/>
      </rPr>
      <t> (K016)</t>
    </r>
  </si>
  <si>
    <t>鍾易禮</t>
  </si>
  <si>
    <t>告東尼</t>
  </si>
  <si>
    <r>
      <t>首駿</t>
    </r>
    <r>
      <rPr>
        <u/>
        <sz val="12"/>
        <color theme="10"/>
        <rFont val="新細明體"/>
        <family val="1"/>
        <charset val="136"/>
        <scheme val="minor"/>
      </rPr>
      <t> (K189)</t>
    </r>
  </si>
  <si>
    <t>班德禮</t>
  </si>
  <si>
    <r>
      <t>飛輪霸</t>
    </r>
    <r>
      <rPr>
        <u/>
        <sz val="12"/>
        <color theme="10"/>
        <rFont val="新細明體"/>
        <family val="1"/>
        <charset val="136"/>
        <scheme val="minor"/>
      </rPr>
      <t> (K320)</t>
    </r>
  </si>
  <si>
    <t>潘明輝</t>
  </si>
  <si>
    <t>姚本輝</t>
  </si>
  <si>
    <r>
      <t>紅愛舍</t>
    </r>
    <r>
      <rPr>
        <u/>
        <sz val="12"/>
        <color theme="10"/>
        <rFont val="新細明體"/>
        <family val="1"/>
        <charset val="136"/>
        <scheme val="minor"/>
      </rPr>
      <t> (H110)</t>
    </r>
  </si>
  <si>
    <r>
      <t>路路勁</t>
    </r>
    <r>
      <rPr>
        <u/>
        <sz val="12"/>
        <color theme="10"/>
        <rFont val="新細明體"/>
        <family val="1"/>
        <charset val="136"/>
        <scheme val="minor"/>
      </rPr>
      <t> (K315)</t>
    </r>
  </si>
  <si>
    <t>羅富全</t>
  </si>
  <si>
    <r>
      <t>銳喜</t>
    </r>
    <r>
      <rPr>
        <u/>
        <sz val="12"/>
        <color theme="10"/>
        <rFont val="新細明體"/>
        <family val="1"/>
        <charset val="136"/>
        <scheme val="minor"/>
      </rPr>
      <t> (L284)</t>
    </r>
  </si>
  <si>
    <t>蔡明紹</t>
  </si>
  <si>
    <r>
      <t>馬馳登</t>
    </r>
    <r>
      <rPr>
        <u/>
        <sz val="12"/>
        <color theme="10"/>
        <rFont val="新細明體"/>
        <family val="1"/>
        <charset val="136"/>
        <scheme val="minor"/>
      </rPr>
      <t> (L133)</t>
    </r>
  </si>
  <si>
    <r>
      <t>金珀尖子</t>
    </r>
    <r>
      <rPr>
        <u/>
        <sz val="12"/>
        <color theme="10"/>
        <rFont val="新細明體"/>
        <family val="1"/>
        <charset val="136"/>
        <scheme val="minor"/>
      </rPr>
      <t> (L353)</t>
    </r>
  </si>
  <si>
    <r>
      <t>銀刺勇士</t>
    </r>
    <r>
      <rPr>
        <u/>
        <sz val="12"/>
        <color theme="10"/>
        <rFont val="新細明體"/>
        <family val="1"/>
        <charset val="136"/>
        <scheme val="minor"/>
      </rPr>
      <t> (J043)</t>
    </r>
  </si>
  <si>
    <t>黃智弘</t>
  </si>
  <si>
    <r>
      <t>蹺妙</t>
    </r>
    <r>
      <rPr>
        <u/>
        <sz val="12"/>
        <color theme="10"/>
        <rFont val="新細明體"/>
        <family val="1"/>
        <charset val="136"/>
        <scheme val="minor"/>
      </rPr>
      <t> (L031)</t>
    </r>
  </si>
  <si>
    <r>
      <t>贏玥</t>
    </r>
    <r>
      <rPr>
        <u/>
        <sz val="12"/>
        <color theme="10"/>
        <rFont val="新細明體"/>
        <family val="1"/>
        <charset val="136"/>
        <scheme val="minor"/>
      </rPr>
      <t> (L039)</t>
    </r>
  </si>
  <si>
    <r>
      <t>得意佳作</t>
    </r>
    <r>
      <rPr>
        <u/>
        <sz val="12"/>
        <color theme="10"/>
        <rFont val="新細明體"/>
        <family val="1"/>
        <charset val="136"/>
        <scheme val="minor"/>
      </rPr>
      <t> (G125)</t>
    </r>
  </si>
  <si>
    <t> 4</t>
  </si>
  <si>
    <r>
      <t>星願無限</t>
    </r>
    <r>
      <rPr>
        <u/>
        <sz val="12"/>
        <color theme="10"/>
        <rFont val="新細明體"/>
        <family val="1"/>
        <charset val="136"/>
        <scheme val="minor"/>
      </rPr>
      <t> (L267)</t>
    </r>
  </si>
  <si>
    <r>
      <t>有情有義</t>
    </r>
    <r>
      <rPr>
        <u/>
        <sz val="12"/>
        <color theme="10"/>
        <rFont val="新細明體"/>
        <family val="1"/>
        <charset val="136"/>
        <scheme val="minor"/>
      </rPr>
      <t> (K416)</t>
    </r>
  </si>
  <si>
    <r>
      <t>凝妙星</t>
    </r>
    <r>
      <rPr>
        <u/>
        <sz val="12"/>
        <color theme="10"/>
        <rFont val="新細明體"/>
        <family val="1"/>
        <charset val="136"/>
        <scheme val="minor"/>
      </rPr>
      <t> (K444)</t>
    </r>
  </si>
  <si>
    <r>
      <t>領航天子</t>
    </r>
    <r>
      <rPr>
        <u/>
        <sz val="12"/>
        <color theme="10"/>
        <rFont val="新細明體"/>
        <family val="1"/>
        <charset val="136"/>
        <scheme val="minor"/>
      </rPr>
      <t> (J494)</t>
    </r>
  </si>
  <si>
    <r>
      <t>睿智多寶</t>
    </r>
    <r>
      <rPr>
        <u/>
        <sz val="12"/>
        <color theme="10"/>
        <rFont val="新細明體"/>
        <family val="1"/>
        <charset val="136"/>
        <scheme val="minor"/>
      </rPr>
      <t> (L044)</t>
    </r>
  </si>
  <si>
    <r>
      <t>加州活力</t>
    </r>
    <r>
      <rPr>
        <u/>
        <sz val="12"/>
        <color theme="10"/>
        <rFont val="新細明體"/>
        <family val="1"/>
        <charset val="136"/>
        <scheme val="minor"/>
      </rPr>
      <t> (J131)</t>
    </r>
  </si>
  <si>
    <r>
      <t>彩虹七色</t>
    </r>
    <r>
      <rPr>
        <u/>
        <sz val="12"/>
        <color theme="10"/>
        <rFont val="新細明體"/>
        <family val="1"/>
        <charset val="136"/>
        <scheme val="minor"/>
      </rPr>
      <t> (K145)</t>
    </r>
  </si>
  <si>
    <t>呂健威</t>
  </si>
  <si>
    <r>
      <t>越駿齊歡</t>
    </r>
    <r>
      <rPr>
        <u/>
        <sz val="12"/>
        <color theme="10"/>
        <rFont val="新細明體"/>
        <family val="1"/>
        <charset val="136"/>
        <scheme val="minor"/>
      </rPr>
      <t> (L079)</t>
    </r>
  </si>
  <si>
    <r>
      <t>光明傳承</t>
    </r>
    <r>
      <rPr>
        <u/>
        <sz val="12"/>
        <color theme="10"/>
        <rFont val="新細明體"/>
        <family val="1"/>
        <charset val="136"/>
        <scheme val="minor"/>
      </rPr>
      <t> (J215)</t>
    </r>
  </si>
  <si>
    <t>葉楚航</t>
  </si>
  <si>
    <t>WV</t>
  </si>
  <si>
    <r>
      <t>家傳之寶</t>
    </r>
    <r>
      <rPr>
        <u/>
        <sz val="12"/>
        <color theme="10"/>
        <rFont val="新細明體"/>
        <family val="1"/>
        <charset val="136"/>
        <scheme val="minor"/>
      </rPr>
      <t> (K490)</t>
    </r>
  </si>
  <si>
    <t>次</t>
  </si>
  <si>
    <t> 1</t>
  </si>
  <si>
    <r>
      <t>星辰千帥</t>
    </r>
    <r>
      <rPr>
        <u/>
        <sz val="12"/>
        <color theme="10"/>
        <rFont val="新細明體"/>
        <family val="1"/>
        <charset val="136"/>
        <scheme val="minor"/>
      </rPr>
      <t> (K325)</t>
    </r>
  </si>
  <si>
    <r>
      <t>快樂神駒</t>
    </r>
    <r>
      <rPr>
        <u/>
        <sz val="12"/>
        <color theme="10"/>
        <rFont val="新細明體"/>
        <family val="1"/>
        <charset val="136"/>
        <scheme val="minor"/>
      </rPr>
      <t> (L050)</t>
    </r>
  </si>
  <si>
    <t>短馬頭位</t>
  </si>
  <si>
    <r>
      <t>沙井之友</t>
    </r>
    <r>
      <rPr>
        <u/>
        <sz val="12"/>
        <color theme="10"/>
        <rFont val="新細明體"/>
        <family val="1"/>
        <charset val="136"/>
        <scheme val="minor"/>
      </rPr>
      <t> (K202)</t>
    </r>
  </si>
  <si>
    <r>
      <t>將傲</t>
    </r>
    <r>
      <rPr>
        <u/>
        <sz val="12"/>
        <color theme="10"/>
        <rFont val="新細明體"/>
        <family val="1"/>
        <charset val="136"/>
        <scheme val="minor"/>
      </rPr>
      <t> (L277)</t>
    </r>
  </si>
  <si>
    <r>
      <t>莊家班</t>
    </r>
    <r>
      <rPr>
        <u/>
        <sz val="12"/>
        <color theme="10"/>
        <rFont val="新細明體"/>
        <family val="1"/>
        <charset val="136"/>
        <scheme val="minor"/>
      </rPr>
      <t> (L115)</t>
    </r>
  </si>
  <si>
    <r>
      <t>三強</t>
    </r>
    <r>
      <rPr>
        <u/>
        <sz val="12"/>
        <color theme="10"/>
        <rFont val="新細明體"/>
        <family val="1"/>
        <charset val="136"/>
        <scheme val="minor"/>
      </rPr>
      <t> (K229)</t>
    </r>
  </si>
  <si>
    <t>鄭俊偉</t>
  </si>
  <si>
    <r>
      <t>焦點</t>
    </r>
    <r>
      <rPr>
        <u/>
        <sz val="12"/>
        <color theme="10"/>
        <rFont val="新細明體"/>
        <family val="1"/>
        <charset val="136"/>
        <scheme val="minor"/>
      </rPr>
      <t> (H173)</t>
    </r>
  </si>
  <si>
    <r>
      <t>禪勝閃亮</t>
    </r>
    <r>
      <rPr>
        <u/>
        <sz val="12"/>
        <color theme="10"/>
        <rFont val="新細明體"/>
        <family val="1"/>
        <charset val="136"/>
        <scheme val="minor"/>
      </rPr>
      <t> (L051)</t>
    </r>
  </si>
  <si>
    <r>
      <t>智勝一籌</t>
    </r>
    <r>
      <rPr>
        <u/>
        <sz val="12"/>
        <color theme="10"/>
        <rFont val="新細明體"/>
        <family val="1"/>
        <charset val="136"/>
        <scheme val="minor"/>
      </rPr>
      <t> (L249)</t>
    </r>
  </si>
  <si>
    <r>
      <t>平天雄</t>
    </r>
    <r>
      <rPr>
        <u/>
        <sz val="12"/>
        <color theme="10"/>
        <rFont val="新細明體"/>
        <family val="1"/>
        <charset val="136"/>
        <scheme val="minor"/>
      </rPr>
      <t> (K407)</t>
    </r>
  </si>
  <si>
    <r>
      <t>應龍飛影</t>
    </r>
    <r>
      <rPr>
        <u/>
        <sz val="12"/>
        <color theme="10"/>
        <rFont val="新細明體"/>
        <family val="1"/>
        <charset val="136"/>
        <scheme val="minor"/>
      </rPr>
      <t> (L083)</t>
    </r>
  </si>
  <si>
    <t>伍鵬志</t>
  </si>
  <si>
    <r>
      <t>震撼人心</t>
    </r>
    <r>
      <rPr>
        <u/>
        <sz val="12"/>
        <color theme="10"/>
        <rFont val="新細明體"/>
        <family val="1"/>
        <charset val="136"/>
        <scheme val="minor"/>
      </rPr>
      <t> (L420)</t>
    </r>
  </si>
  <si>
    <r>
      <t>越駿聯歡</t>
    </r>
    <r>
      <rPr>
        <u/>
        <sz val="12"/>
        <color theme="10"/>
        <rFont val="新細明體"/>
        <family val="1"/>
        <charset val="136"/>
        <scheme val="minor"/>
      </rPr>
      <t> (L202)</t>
    </r>
  </si>
  <si>
    <r>
      <t>同心</t>
    </r>
    <r>
      <rPr>
        <u/>
        <sz val="12"/>
        <color theme="10"/>
        <rFont val="新細明體"/>
        <family val="1"/>
        <charset val="136"/>
        <scheme val="minor"/>
      </rPr>
      <t> (K253)</t>
    </r>
  </si>
  <si>
    <t>頭位</t>
  </si>
  <si>
    <r>
      <t>本領非凡</t>
    </r>
    <r>
      <rPr>
        <u/>
        <sz val="12"/>
        <color theme="10"/>
        <rFont val="新細明體"/>
        <family val="1"/>
        <charset val="136"/>
        <scheme val="minor"/>
      </rPr>
      <t> (J137)</t>
    </r>
  </si>
  <si>
    <r>
      <t>揀馬之皇</t>
    </r>
    <r>
      <rPr>
        <u/>
        <sz val="12"/>
        <color theme="10"/>
        <rFont val="新細明體"/>
        <family val="1"/>
        <charset val="136"/>
        <scheme val="minor"/>
      </rPr>
      <t> (K397)</t>
    </r>
  </si>
  <si>
    <r>
      <t>金駒永騰</t>
    </r>
    <r>
      <rPr>
        <u/>
        <sz val="12"/>
        <color theme="10"/>
        <rFont val="新細明體"/>
        <family val="1"/>
        <charset val="136"/>
        <scheme val="minor"/>
      </rPr>
      <t> (J398)</t>
    </r>
  </si>
  <si>
    <r>
      <t>創科群英</t>
    </r>
    <r>
      <rPr>
        <u/>
        <sz val="12"/>
        <color theme="10"/>
        <rFont val="新細明體"/>
        <family val="1"/>
        <charset val="136"/>
        <scheme val="minor"/>
      </rPr>
      <t> (K319)</t>
    </r>
  </si>
  <si>
    <r>
      <t>赤風驪</t>
    </r>
    <r>
      <rPr>
        <u/>
        <sz val="12"/>
        <color theme="10"/>
        <rFont val="新細明體"/>
        <family val="1"/>
        <charset val="136"/>
        <scheme val="minor"/>
      </rPr>
      <t> (L093)</t>
    </r>
  </si>
  <si>
    <r>
      <t>大文豪</t>
    </r>
    <r>
      <rPr>
        <u/>
        <sz val="12"/>
        <color theme="10"/>
        <rFont val="新細明體"/>
        <family val="1"/>
        <charset val="136"/>
        <scheme val="minor"/>
      </rPr>
      <t> (L134)</t>
    </r>
  </si>
  <si>
    <r>
      <t>健康小馬</t>
    </r>
    <r>
      <rPr>
        <u/>
        <sz val="12"/>
        <color theme="10"/>
        <rFont val="新細明體"/>
        <family val="1"/>
        <charset val="136"/>
        <scheme val="minor"/>
      </rPr>
      <t> (L046)</t>
    </r>
  </si>
  <si>
    <r>
      <t>滿洛城</t>
    </r>
    <r>
      <rPr>
        <u/>
        <sz val="12"/>
        <color theme="10"/>
        <rFont val="新細明體"/>
        <family val="1"/>
        <charset val="136"/>
        <scheme val="minor"/>
      </rPr>
      <t> (K374)</t>
    </r>
  </si>
  <si>
    <r>
      <t>大學生</t>
    </r>
    <r>
      <rPr>
        <u/>
        <sz val="12"/>
        <color theme="10"/>
        <rFont val="新細明體"/>
        <family val="1"/>
        <charset val="136"/>
        <scheme val="minor"/>
      </rPr>
      <t> (H116)</t>
    </r>
  </si>
  <si>
    <r>
      <t>爆竹</t>
    </r>
    <r>
      <rPr>
        <u/>
        <sz val="12"/>
        <color theme="10"/>
        <rFont val="新細明體"/>
        <family val="1"/>
        <charset val="136"/>
        <scheme val="minor"/>
      </rPr>
      <t> (L065)</t>
    </r>
  </si>
  <si>
    <r>
      <t>盈妍威楓</t>
    </r>
    <r>
      <rPr>
        <u/>
        <sz val="12"/>
        <color theme="10"/>
        <rFont val="新細明體"/>
        <family val="1"/>
        <charset val="136"/>
        <scheme val="minor"/>
      </rPr>
      <t> (J300)</t>
    </r>
  </si>
  <si>
    <r>
      <t>丞匡掠影</t>
    </r>
    <r>
      <rPr>
        <u/>
        <sz val="12"/>
        <color theme="10"/>
        <rFont val="新細明體"/>
        <family val="1"/>
        <charset val="136"/>
        <scheme val="minor"/>
      </rPr>
      <t> (L168)</t>
    </r>
  </si>
  <si>
    <r>
      <t>首飾悟空</t>
    </r>
    <r>
      <rPr>
        <u/>
        <sz val="12"/>
        <color theme="10"/>
        <rFont val="新細明體"/>
        <family val="1"/>
        <charset val="136"/>
        <scheme val="minor"/>
      </rPr>
      <t> (K314)</t>
    </r>
  </si>
  <si>
    <r>
      <t>東來欣賞</t>
    </r>
    <r>
      <rPr>
        <u/>
        <sz val="12"/>
        <color theme="10"/>
        <rFont val="新細明體"/>
        <family val="1"/>
        <charset val="136"/>
        <scheme val="minor"/>
      </rPr>
      <t> (J290)</t>
    </r>
  </si>
  <si>
    <r>
      <t>乘數表</t>
    </r>
    <r>
      <rPr>
        <u/>
        <sz val="12"/>
        <color theme="10"/>
        <rFont val="新細明體"/>
        <family val="1"/>
        <charset val="136"/>
        <scheme val="minor"/>
      </rPr>
      <t> (K352)</t>
    </r>
  </si>
  <si>
    <r>
      <t>加州本事</t>
    </r>
    <r>
      <rPr>
        <u/>
        <sz val="12"/>
        <color theme="10"/>
        <rFont val="新細明體"/>
        <family val="1"/>
        <charset val="136"/>
        <scheme val="minor"/>
      </rPr>
      <t> (J370)</t>
    </r>
  </si>
  <si>
    <r>
      <t>天星</t>
    </r>
    <r>
      <rPr>
        <u/>
        <sz val="12"/>
        <color theme="10"/>
        <rFont val="新細明體"/>
        <family val="1"/>
        <charset val="136"/>
        <scheme val="minor"/>
      </rPr>
      <t> (K234)</t>
    </r>
  </si>
  <si>
    <r>
      <t>電源之駒</t>
    </r>
    <r>
      <rPr>
        <u/>
        <sz val="12"/>
        <color theme="10"/>
        <rFont val="新細明體"/>
        <family val="1"/>
        <charset val="136"/>
        <scheme val="minor"/>
      </rPr>
      <t> (E301)</t>
    </r>
  </si>
  <si>
    <r>
      <t>傲聖</t>
    </r>
    <r>
      <rPr>
        <u/>
        <sz val="12"/>
        <color theme="10"/>
        <rFont val="新細明體"/>
        <family val="1"/>
        <charset val="136"/>
        <scheme val="minor"/>
      </rPr>
      <t> (L384)</t>
    </r>
  </si>
  <si>
    <r>
      <t>安康萬里</t>
    </r>
    <r>
      <rPr>
        <u/>
        <sz val="12"/>
        <color theme="10"/>
        <rFont val="新細明體"/>
        <family val="1"/>
        <charset val="136"/>
        <scheme val="minor"/>
      </rPr>
      <t> (J158)</t>
    </r>
  </si>
  <si>
    <r>
      <t>競駿皇者</t>
    </r>
    <r>
      <rPr>
        <u/>
        <sz val="12"/>
        <color theme="10"/>
        <rFont val="新細明體"/>
        <family val="1"/>
        <charset val="136"/>
        <scheme val="minor"/>
      </rPr>
      <t> (K011)</t>
    </r>
  </si>
  <si>
    <r>
      <t>正極</t>
    </r>
    <r>
      <rPr>
        <u/>
        <sz val="12"/>
        <color theme="10"/>
        <rFont val="新細明體"/>
        <family val="1"/>
        <charset val="136"/>
        <scheme val="minor"/>
      </rPr>
      <t> (K367)</t>
    </r>
  </si>
  <si>
    <r>
      <t>繼往開來</t>
    </r>
    <r>
      <rPr>
        <u/>
        <sz val="12"/>
        <color theme="10"/>
        <rFont val="新細明體"/>
        <family val="1"/>
        <charset val="136"/>
        <scheme val="minor"/>
      </rPr>
      <t> (L096)</t>
    </r>
  </si>
  <si>
    <t>文家良</t>
  </si>
  <si>
    <r>
      <t>驕陽雄心</t>
    </r>
    <r>
      <rPr>
        <u/>
        <sz val="12"/>
        <color theme="10"/>
        <rFont val="新細明體"/>
        <family val="1"/>
        <charset val="136"/>
        <scheme val="minor"/>
      </rPr>
      <t> (K553)</t>
    </r>
  </si>
  <si>
    <r>
      <t>富國兄弟</t>
    </r>
    <r>
      <rPr>
        <u/>
        <sz val="12"/>
        <color theme="10"/>
        <rFont val="新細明體"/>
        <family val="1"/>
        <charset val="136"/>
        <scheme val="minor"/>
      </rPr>
      <t> (J396)</t>
    </r>
  </si>
  <si>
    <r>
      <t>飛馬座</t>
    </r>
    <r>
      <rPr>
        <u/>
        <sz val="12"/>
        <color theme="10"/>
        <rFont val="新細明體"/>
        <family val="1"/>
        <charset val="136"/>
        <scheme val="minor"/>
      </rPr>
      <t> (L075)</t>
    </r>
  </si>
  <si>
    <r>
      <t>蓮冠皇</t>
    </r>
    <r>
      <rPr>
        <u/>
        <sz val="12"/>
        <color theme="10"/>
        <rFont val="新細明體"/>
        <family val="1"/>
        <charset val="136"/>
        <scheme val="minor"/>
      </rPr>
      <t> (K186)</t>
    </r>
  </si>
  <si>
    <r>
      <t>勇霸龍</t>
    </r>
    <r>
      <rPr>
        <u/>
        <sz val="12"/>
        <color theme="10"/>
        <rFont val="新細明體"/>
        <family val="1"/>
        <charset val="136"/>
        <scheme val="minor"/>
      </rPr>
      <t> (J237)</t>
    </r>
  </si>
  <si>
    <r>
      <t>喵喵怪</t>
    </r>
    <r>
      <rPr>
        <u/>
        <sz val="12"/>
        <color theme="10"/>
        <rFont val="新細明體"/>
        <family val="1"/>
        <charset val="136"/>
        <scheme val="minor"/>
      </rPr>
      <t> (J487)</t>
    </r>
  </si>
  <si>
    <r>
      <t>亞機拉</t>
    </r>
    <r>
      <rPr>
        <u/>
        <sz val="12"/>
        <color theme="10"/>
        <rFont val="新細明體"/>
        <family val="1"/>
        <charset val="136"/>
        <scheme val="minor"/>
      </rPr>
      <t> (H113)</t>
    </r>
  </si>
  <si>
    <r>
      <t>團結勇士</t>
    </r>
    <r>
      <rPr>
        <u/>
        <sz val="12"/>
        <color theme="10"/>
        <rFont val="新細明體"/>
        <family val="1"/>
        <charset val="136"/>
        <scheme val="minor"/>
      </rPr>
      <t> (K340)</t>
    </r>
  </si>
  <si>
    <r>
      <t>富心星</t>
    </r>
    <r>
      <rPr>
        <u/>
        <sz val="12"/>
        <color theme="10"/>
        <rFont val="新細明體"/>
        <family val="1"/>
        <charset val="136"/>
        <scheme val="minor"/>
      </rPr>
      <t> (K125)</t>
    </r>
  </si>
  <si>
    <r>
      <t>久久為昇</t>
    </r>
    <r>
      <rPr>
        <u/>
        <sz val="12"/>
        <color theme="10"/>
        <rFont val="新細明體"/>
        <family val="1"/>
        <charset val="136"/>
        <scheme val="minor"/>
      </rPr>
      <t> (K516)</t>
    </r>
  </si>
  <si>
    <r>
      <t>人和家興</t>
    </r>
    <r>
      <rPr>
        <u/>
        <sz val="12"/>
        <color theme="10"/>
        <rFont val="新細明體"/>
        <family val="1"/>
        <charset val="136"/>
        <scheme val="minor"/>
      </rPr>
      <t> (E061)</t>
    </r>
  </si>
  <si>
    <r>
      <t>將義</t>
    </r>
    <r>
      <rPr>
        <u/>
        <sz val="12"/>
        <color theme="10"/>
        <rFont val="新細明體"/>
        <family val="1"/>
        <charset val="136"/>
        <scheme val="minor"/>
      </rPr>
      <t> (J446)</t>
    </r>
  </si>
  <si>
    <r>
      <t>好實力</t>
    </r>
    <r>
      <rPr>
        <u/>
        <sz val="12"/>
        <color theme="10"/>
        <rFont val="新細明體"/>
        <family val="1"/>
        <charset val="136"/>
        <scheme val="minor"/>
      </rPr>
      <t> (K381)</t>
    </r>
  </si>
  <si>
    <r>
      <t>紫荊傳令</t>
    </r>
    <r>
      <rPr>
        <u/>
        <sz val="12"/>
        <color theme="10"/>
        <rFont val="新細明體"/>
        <family val="1"/>
        <charset val="136"/>
        <scheme val="minor"/>
      </rPr>
      <t> (L108)</t>
    </r>
  </si>
  <si>
    <r>
      <t>中國心</t>
    </r>
    <r>
      <rPr>
        <u/>
        <sz val="12"/>
        <color theme="10"/>
        <rFont val="新細明體"/>
        <family val="1"/>
        <charset val="136"/>
        <scheme val="minor"/>
      </rPr>
      <t> (K395)</t>
    </r>
  </si>
  <si>
    <r>
      <t>風將</t>
    </r>
    <r>
      <rPr>
        <u/>
        <sz val="12"/>
        <color theme="10"/>
        <rFont val="新細明體"/>
        <family val="1"/>
        <charset val="136"/>
        <scheme val="minor"/>
      </rPr>
      <t> (L184)</t>
    </r>
  </si>
  <si>
    <r>
      <t>豐辰</t>
    </r>
    <r>
      <rPr>
        <u/>
        <sz val="12"/>
        <color theme="10"/>
        <rFont val="新細明體"/>
        <family val="1"/>
        <charset val="136"/>
        <scheme val="minor"/>
      </rPr>
      <t> (K004)</t>
    </r>
  </si>
  <si>
    <r>
      <t>財富非凡</t>
    </r>
    <r>
      <rPr>
        <u/>
        <sz val="12"/>
        <color theme="10"/>
        <rFont val="新細明體"/>
        <family val="1"/>
        <charset val="136"/>
        <scheme val="minor"/>
      </rPr>
      <t> (L057)</t>
    </r>
  </si>
  <si>
    <r>
      <t>平凡騎士</t>
    </r>
    <r>
      <rPr>
        <u/>
        <sz val="12"/>
        <color theme="10"/>
        <rFont val="新細明體"/>
        <family val="1"/>
        <charset val="136"/>
        <scheme val="minor"/>
      </rPr>
      <t> (K161)</t>
    </r>
  </si>
  <si>
    <r>
      <t>瑪瑙</t>
    </r>
    <r>
      <rPr>
        <u/>
        <sz val="12"/>
        <color theme="10"/>
        <rFont val="新細明體"/>
        <family val="1"/>
        <charset val="136"/>
        <scheme val="minor"/>
      </rPr>
      <t> (G306)</t>
    </r>
  </si>
  <si>
    <r>
      <t>嘉應傳承</t>
    </r>
    <r>
      <rPr>
        <u/>
        <sz val="12"/>
        <color theme="10"/>
        <rFont val="新細明體"/>
        <family val="1"/>
        <charset val="136"/>
        <scheme val="minor"/>
      </rPr>
      <t> (J075)</t>
    </r>
  </si>
  <si>
    <r>
      <t>浪漫鬥士</t>
    </r>
    <r>
      <rPr>
        <u/>
        <sz val="12"/>
        <color theme="10"/>
        <rFont val="新細明體"/>
        <family val="1"/>
        <charset val="136"/>
        <scheme val="minor"/>
      </rPr>
      <t> (L240)</t>
    </r>
  </si>
  <si>
    <r>
      <t>凌登</t>
    </r>
    <r>
      <rPr>
        <u/>
        <sz val="12"/>
        <color theme="10"/>
        <rFont val="新細明體"/>
        <family val="1"/>
        <charset val="136"/>
        <scheme val="minor"/>
      </rPr>
      <t> (L151)</t>
    </r>
  </si>
  <si>
    <t>1,1,1,1</t>
    <phoneticPr fontId="2" type="noConversion"/>
  </si>
  <si>
    <t>6,6,6,2</t>
    <phoneticPr fontId="2" type="noConversion"/>
  </si>
  <si>
    <t>實際負磅</t>
  </si>
  <si>
    <t>排位體重</t>
  </si>
  <si>
    <t>頭馬距離</t>
  </si>
  <si>
    <t>沿途走位</t>
  </si>
  <si>
    <t>完成時間</t>
  </si>
  <si>
    <t>獨贏賠率</t>
  </si>
  <si>
    <t>紅磚戰士 (K580)</t>
  </si>
  <si>
    <t>1,1,1,1</t>
  </si>
  <si>
    <t>01:39.2</t>
  </si>
  <si>
    <t>東方魅影 (K028)</t>
  </si>
  <si>
    <t>6,6,6,2</t>
  </si>
  <si>
    <t>01:39.3</t>
  </si>
  <si>
    <t>威威父子 (H419)</t>
  </si>
  <si>
    <t>9,9,9,3</t>
  </si>
  <si>
    <t>01:39.4</t>
  </si>
  <si>
    <t>開心三多 (H293)</t>
  </si>
  <si>
    <t>12,12,11,4</t>
  </si>
  <si>
    <t>01:39.6</t>
  </si>
  <si>
    <t>神駒馬靈 (J162)</t>
  </si>
  <si>
    <t>5,4,3,5</t>
  </si>
  <si>
    <t>01:39.7</t>
  </si>
  <si>
    <t>堅多福 (K306)</t>
  </si>
  <si>
    <t>4,2,2,6</t>
  </si>
  <si>
    <t>01:40.1</t>
  </si>
  <si>
    <t>幸運同行 (J331)</t>
  </si>
  <si>
    <t>11,11,12,7</t>
  </si>
  <si>
    <t>綫路達飛 (J501)</t>
  </si>
  <si>
    <t>8,8,8,8</t>
  </si>
  <si>
    <t>電訊驕陽 (J332)</t>
  </si>
  <si>
    <t>10,10,10,9</t>
  </si>
  <si>
    <t>01:40.2</t>
  </si>
  <si>
    <t>至高心得 (J395)</t>
  </si>
  <si>
    <t>3,5,5,10</t>
  </si>
  <si>
    <t>01:40.4</t>
  </si>
  <si>
    <t>極速滿貫 (G277)</t>
  </si>
  <si>
    <t>2,3,4,11</t>
  </si>
  <si>
    <t>一風雲 (K336)</t>
  </si>
  <si>
    <t>7,7,7,12</t>
  </si>
  <si>
    <t>01:40.9</t>
  </si>
  <si>
    <t>比特星 (J362)</t>
  </si>
  <si>
    <t>6,6,1,11</t>
  </si>
  <si>
    <t>01:09.7</t>
  </si>
  <si>
    <t>有盈勇士 (K271)</t>
  </si>
  <si>
    <t>11,10,2,9</t>
  </si>
  <si>
    <t>01:10.0</t>
  </si>
  <si>
    <t>鄉村威龍 (L325)</t>
  </si>
  <si>
    <t>9,7,3,4</t>
  </si>
  <si>
    <t>01:10.1</t>
  </si>
  <si>
    <t>開心五月 (K016)</t>
  </si>
  <si>
    <t>4,4,4,7</t>
  </si>
  <si>
    <t>首駿 (K189)</t>
  </si>
  <si>
    <t>7,8,5,2</t>
  </si>
  <si>
    <t>01:10.2</t>
  </si>
  <si>
    <t>飛輪霸 (K320)</t>
  </si>
  <si>
    <t>2,2,6,12</t>
  </si>
  <si>
    <t>紅愛舍 (H110)</t>
  </si>
  <si>
    <t>12,12,7,1</t>
  </si>
  <si>
    <t>01:10.3</t>
  </si>
  <si>
    <t>路路勁 (K315)</t>
  </si>
  <si>
    <t>1,1,8,5</t>
  </si>
  <si>
    <t>01:10.4</t>
  </si>
  <si>
    <t>銳喜 (L284)</t>
  </si>
  <si>
    <t>5,5,9,8</t>
  </si>
  <si>
    <t>01:10.5</t>
  </si>
  <si>
    <t>馬馳登 (L133)</t>
  </si>
  <si>
    <t>8,9,10,10</t>
  </si>
  <si>
    <t>01:10.6</t>
  </si>
  <si>
    <t>金珀尖子 (L353)</t>
  </si>
  <si>
    <t>10,11,11,3</t>
  </si>
  <si>
    <t>01:10.9</t>
  </si>
  <si>
    <t>銀刺勇士 (J043)</t>
  </si>
  <si>
    <t>3,3,12,沿途</t>
  </si>
  <si>
    <t>蹺妙 (L031)</t>
  </si>
  <si>
    <t>6,6,6,1</t>
  </si>
  <si>
    <t>01:39.5</t>
  </si>
  <si>
    <t>贏玥 (L039)</t>
  </si>
  <si>
    <t>3,3,4,2</t>
  </si>
  <si>
    <t>得意佳作 (G125)</t>
  </si>
  <si>
    <t>1,1,1,3</t>
  </si>
  <si>
    <t>星願無限 (L267)</t>
  </si>
  <si>
    <t>10,10,8,4</t>
  </si>
  <si>
    <t>01:39.8</t>
  </si>
  <si>
    <t>有情有義 (K416)</t>
  </si>
  <si>
    <t>8,7,7,5</t>
  </si>
  <si>
    <t>凝妙星 (K444)</t>
  </si>
  <si>
    <t>4,5,5,6</t>
  </si>
  <si>
    <t>01:39.9</t>
  </si>
  <si>
    <t>領航天子 (J494)</t>
  </si>
  <si>
    <t>9,9,10,7</t>
  </si>
  <si>
    <t>01:40.0</t>
  </si>
  <si>
    <t>睿智多寶 (L044)</t>
  </si>
  <si>
    <t>2,2,2,8</t>
  </si>
  <si>
    <t>加州活力 (J131)</t>
  </si>
  <si>
    <t>11,11,11,9</t>
  </si>
  <si>
    <t>彩虹七色 (K145)</t>
  </si>
  <si>
    <t>7,8,9,10</t>
  </si>
  <si>
    <t>越駿齊歡 (L079)</t>
  </si>
  <si>
    <t>5,4,3,11</t>
  </si>
  <si>
    <t>01:40.8</t>
  </si>
  <si>
    <t>光明傳承 (J215)</t>
  </si>
  <si>
    <t>12,12,12,12</t>
  </si>
  <si>
    <t>01:41.1</t>
  </si>
  <si>
    <t>家傳之寶 (K490)</t>
  </si>
  <si>
    <t>---,沿途,走位,6</t>
  </si>
  <si>
    <t>星辰千帥 (K325)</t>
  </si>
  <si>
    <t>6,6,1,4</t>
  </si>
  <si>
    <t>快樂神駒 (L050)</t>
  </si>
  <si>
    <t>4,4,2,5</t>
  </si>
  <si>
    <t>沙井之友 (K202)</t>
  </si>
  <si>
    <t>5,7,3,2</t>
  </si>
  <si>
    <t>將傲 (L277)</t>
  </si>
  <si>
    <t>2,2,4,3</t>
  </si>
  <si>
    <t>莊家班 (L115)</t>
  </si>
  <si>
    <t>三強 (K229)</t>
  </si>
  <si>
    <t>10,10,6,7</t>
  </si>
  <si>
    <t>焦點 (H173)</t>
  </si>
  <si>
    <t>7,8,7,9</t>
  </si>
  <si>
    <t>禪勝閃亮 (L051)</t>
  </si>
  <si>
    <t>9,9,8,8</t>
  </si>
  <si>
    <t>智勝一籌 (L249)</t>
  </si>
  <si>
    <t>8,3,9,1</t>
  </si>
  <si>
    <t>平天雄 (K407)</t>
  </si>
  <si>
    <t>1,1,10,---</t>
  </si>
  <si>
    <t>01:11.0</t>
  </si>
  <si>
    <t>應龍飛影 (L083)</t>
  </si>
  <si>
    <t>---,---,沿途,走位</t>
  </si>
  <si>
    <t>震撼人心 (L420)</t>
  </si>
  <si>
    <t>---,沿途,走位,11</t>
  </si>
  <si>
    <t>越駿聯歡 (L202)</t>
  </si>
  <si>
    <t>11,11,11,1</t>
  </si>
  <si>
    <t>同心 (K253)</t>
  </si>
  <si>
    <t>4,4,3,2</t>
  </si>
  <si>
    <t>本領非凡 (J137)</t>
  </si>
  <si>
    <t>10,10,8,3</t>
  </si>
  <si>
    <t>揀馬之皇 (K397)</t>
  </si>
  <si>
    <t>12,12,12,4</t>
  </si>
  <si>
    <t>金駒永騰 (J398)</t>
  </si>
  <si>
    <t>2,2,2,5</t>
  </si>
  <si>
    <t>創科群英 (K319)</t>
  </si>
  <si>
    <t>9,9,9,6</t>
  </si>
  <si>
    <t>赤風驪 (L093)</t>
  </si>
  <si>
    <t>6,7,7,7</t>
  </si>
  <si>
    <t>大文豪 (L134)</t>
  </si>
  <si>
    <t>5,5,5,8</t>
  </si>
  <si>
    <t>健康小馬 (L046)</t>
  </si>
  <si>
    <t>7,6,6,9</t>
  </si>
  <si>
    <t>滿洛城 (K374)</t>
  </si>
  <si>
    <t>8,8,10,10</t>
  </si>
  <si>
    <t>01:40.3</t>
  </si>
  <si>
    <t>大學生 (H116)</t>
  </si>
  <si>
    <t>3,3,4,11</t>
  </si>
  <si>
    <t>爆竹 (L065)</t>
  </si>
  <si>
    <t>1,1,1,12</t>
  </si>
  <si>
    <t>01:41.2</t>
  </si>
  <si>
    <t>盈妍威楓 (J300)</t>
  </si>
  <si>
    <t>4,2,1,8</t>
  </si>
  <si>
    <t>01:09.6</t>
  </si>
  <si>
    <t>丞匡掠影 (L168)</t>
  </si>
  <si>
    <t>8,8,2,5</t>
  </si>
  <si>
    <t>首飾悟空 (K314)</t>
  </si>
  <si>
    <t>5,5,3,2</t>
  </si>
  <si>
    <t>東來欣賞 (J290)</t>
  </si>
  <si>
    <t>2,3,4,6</t>
  </si>
  <si>
    <t>01:09.8</t>
  </si>
  <si>
    <t>乘數表 (K352)</t>
  </si>
  <si>
    <t>6,6,5,1</t>
  </si>
  <si>
    <t>加州本事 (J370)</t>
  </si>
  <si>
    <t>1,1,6,11</t>
  </si>
  <si>
    <t>01:09.9</t>
  </si>
  <si>
    <t>天星 (K234)</t>
  </si>
  <si>
    <t>11,11,7,10</t>
  </si>
  <si>
    <t>電源之駒 (E301)</t>
  </si>
  <si>
    <t>10,9,8,7</t>
  </si>
  <si>
    <t>傲聖 (L384)</t>
  </si>
  <si>
    <t>7,7,9,3</t>
  </si>
  <si>
    <t>安康萬里 (J158)</t>
  </si>
  <si>
    <t>3,4,10,12</t>
  </si>
  <si>
    <t>競駿皇者 (K011)</t>
  </si>
  <si>
    <t>12,12,11,9</t>
  </si>
  <si>
    <t>正極 (K367)</t>
  </si>
  <si>
    <t>9,10,12,6</t>
  </si>
  <si>
    <t>繼往開來 (L096)</t>
  </si>
  <si>
    <t>01:09.2</t>
  </si>
  <si>
    <t>驕陽雄心 (K553)</t>
  </si>
  <si>
    <t>4,5,2,7</t>
  </si>
  <si>
    <t>01:09.5</t>
  </si>
  <si>
    <t>富國兄弟 (J396)</t>
  </si>
  <si>
    <t>7,9,3,11</t>
  </si>
  <si>
    <t>飛馬座 (L075)</t>
  </si>
  <si>
    <t>11,10,4,12</t>
  </si>
  <si>
    <t>蓮冠皇 (K186)</t>
  </si>
  <si>
    <t>12,12,5,10</t>
  </si>
  <si>
    <t>勇霸龍 (J237)</t>
  </si>
  <si>
    <t>10,8,6,5</t>
  </si>
  <si>
    <t>喵喵怪 (J487)</t>
  </si>
  <si>
    <t>5,4,7,8</t>
  </si>
  <si>
    <t>亞機拉 (H113)</t>
  </si>
  <si>
    <t>8,7,8,9</t>
  </si>
  <si>
    <t>團結勇士 (K340)</t>
  </si>
  <si>
    <t>9,11,9,2</t>
  </si>
  <si>
    <t>富心星 (K125)</t>
  </si>
  <si>
    <t>2,1,10,3</t>
  </si>
  <si>
    <t>久久為昇 (K516)</t>
  </si>
  <si>
    <t>3,3,11,1</t>
  </si>
  <si>
    <t>人和家興 (E061)</t>
  </si>
  <si>
    <t>1,2,12,10</t>
  </si>
  <si>
    <t>將義 (J446)</t>
  </si>
  <si>
    <t>10,9,6,5,1</t>
  </si>
  <si>
    <t>01:48.0</t>
  </si>
  <si>
    <t>好實力 (K381)</t>
  </si>
  <si>
    <t>12,12,12,9,2</t>
  </si>
  <si>
    <t>01:48.5</t>
  </si>
  <si>
    <t>紫荊傳令 (L108)</t>
  </si>
  <si>
    <t>1,3,4,4,3</t>
  </si>
  <si>
    <t>01:48.7</t>
  </si>
  <si>
    <t>中國心 (K395)</t>
  </si>
  <si>
    <t>7,6,3,3,4</t>
  </si>
  <si>
    <t>風將 (L184)</t>
  </si>
  <si>
    <t>3,1,1,1,5</t>
  </si>
  <si>
    <t>01:48.8</t>
  </si>
  <si>
    <t>豐辰 (K004)</t>
  </si>
  <si>
    <t>11,11,9,8,6</t>
  </si>
  <si>
    <t>01:49.0</t>
  </si>
  <si>
    <t>財富非凡 (L057)</t>
  </si>
  <si>
    <t>2,4,5,6,7</t>
  </si>
  <si>
    <t>平凡騎士 (K161)</t>
  </si>
  <si>
    <t>6,7,8,10,8</t>
  </si>
  <si>
    <t>瑪瑙 (G306)</t>
  </si>
  <si>
    <t>5,2,2,2,9</t>
  </si>
  <si>
    <t>01:49.6</t>
  </si>
  <si>
    <t>嘉應傳承 (J075)</t>
  </si>
  <si>
    <t>9,8,10,11,10</t>
  </si>
  <si>
    <t>01:50.2</t>
  </si>
  <si>
    <t>浪漫鬥士 (L240)</t>
  </si>
  <si>
    <t>4,5,7,7,11</t>
  </si>
  <si>
    <t>01:50.7</t>
  </si>
  <si>
    <t>凌登 (L151)</t>
  </si>
  <si>
    <t>8,10,11,12,12</t>
  </si>
  <si>
    <t>01:50.8</t>
  </si>
  <si>
    <r>
      <t>福進</t>
    </r>
    <r>
      <rPr>
        <u/>
        <sz val="12"/>
        <color theme="10"/>
        <rFont val="新細明體"/>
        <family val="1"/>
        <charset val="136"/>
        <scheme val="minor"/>
      </rPr>
      <t> (K529)</t>
    </r>
  </si>
  <si>
    <r>
      <t>佐治傳奇</t>
    </r>
    <r>
      <rPr>
        <u/>
        <sz val="12"/>
        <color theme="10"/>
        <rFont val="新細明體"/>
        <family val="1"/>
        <charset val="136"/>
        <scheme val="minor"/>
      </rPr>
      <t> (L007)</t>
    </r>
  </si>
  <si>
    <r>
      <t>巴閉王</t>
    </r>
    <r>
      <rPr>
        <u/>
        <sz val="12"/>
        <color theme="10"/>
        <rFont val="新細明體"/>
        <family val="1"/>
        <charset val="136"/>
        <scheme val="minor"/>
      </rPr>
      <t> (K479)</t>
    </r>
  </si>
  <si>
    <r>
      <t>馬運高</t>
    </r>
    <r>
      <rPr>
        <u/>
        <sz val="12"/>
        <color theme="10"/>
        <rFont val="新細明體"/>
        <family val="1"/>
        <charset val="136"/>
        <scheme val="minor"/>
      </rPr>
      <t> (L175)</t>
    </r>
  </si>
  <si>
    <r>
      <t>升升雙息</t>
    </r>
    <r>
      <rPr>
        <u/>
        <sz val="12"/>
        <color theme="10"/>
        <rFont val="新細明體"/>
        <family val="1"/>
        <charset val="136"/>
        <scheme val="minor"/>
      </rPr>
      <t> (L291)</t>
    </r>
  </si>
  <si>
    <r>
      <t>藍地球</t>
    </r>
    <r>
      <rPr>
        <u/>
        <sz val="12"/>
        <color theme="10"/>
        <rFont val="新細明體"/>
        <family val="1"/>
        <charset val="136"/>
        <scheme val="minor"/>
      </rPr>
      <t> (K468)</t>
    </r>
  </si>
  <si>
    <r>
      <t>天火同人</t>
    </r>
    <r>
      <rPr>
        <u/>
        <sz val="12"/>
        <color theme="10"/>
        <rFont val="新細明體"/>
        <family val="1"/>
        <charset val="136"/>
        <scheme val="minor"/>
      </rPr>
      <t> (E175)</t>
    </r>
  </si>
  <si>
    <t>黃寶妮</t>
  </si>
  <si>
    <r>
      <t>友駿同心</t>
    </r>
    <r>
      <rPr>
        <u/>
        <sz val="12"/>
        <color theme="10"/>
        <rFont val="新細明體"/>
        <family val="1"/>
        <charset val="136"/>
        <scheme val="minor"/>
      </rPr>
      <t> (L214)</t>
    </r>
  </si>
  <si>
    <r>
      <t>萬眾開心</t>
    </r>
    <r>
      <rPr>
        <u/>
        <sz val="12"/>
        <color theme="10"/>
        <rFont val="新細明體"/>
        <family val="1"/>
        <charset val="136"/>
        <scheme val="minor"/>
      </rPr>
      <t> (H208)</t>
    </r>
  </si>
  <si>
    <r>
      <t>螢影飛馳</t>
    </r>
    <r>
      <rPr>
        <u/>
        <sz val="12"/>
        <color theme="10"/>
        <rFont val="新細明體"/>
        <family val="1"/>
        <charset val="136"/>
        <scheme val="minor"/>
      </rPr>
      <t> (K228)</t>
    </r>
  </si>
  <si>
    <r>
      <t>領航多財</t>
    </r>
    <r>
      <rPr>
        <u/>
        <sz val="12"/>
        <color theme="10"/>
        <rFont val="新細明體"/>
        <family val="1"/>
        <charset val="136"/>
        <scheme val="minor"/>
      </rPr>
      <t> (L101)</t>
    </r>
  </si>
  <si>
    <t>巫顯東</t>
  </si>
  <si>
    <r>
      <t>雙劍合璧</t>
    </r>
    <r>
      <rPr>
        <u/>
        <sz val="12"/>
        <color theme="10"/>
        <rFont val="新細明體"/>
        <family val="1"/>
        <charset val="136"/>
        <scheme val="minor"/>
      </rPr>
      <t> (L290)</t>
    </r>
  </si>
  <si>
    <t>福進 (K529)</t>
  </si>
  <si>
    <t>10,9,1</t>
  </si>
  <si>
    <t>00:56.9</t>
  </si>
  <si>
    <t>佐治傳奇 (L007)</t>
  </si>
  <si>
    <t>4,4,2</t>
  </si>
  <si>
    <t>00:57.1</t>
  </si>
  <si>
    <t>巴閉王 (K479)</t>
  </si>
  <si>
    <t>11,7,3</t>
  </si>
  <si>
    <t>00:57.2</t>
  </si>
  <si>
    <t>馬運高 (L175)</t>
  </si>
  <si>
    <t>1,1,4</t>
  </si>
  <si>
    <t>升升雙息 (L291)</t>
  </si>
  <si>
    <t>3,2,5</t>
  </si>
  <si>
    <t>藍地球 (K468)</t>
  </si>
  <si>
    <t>9,5,6</t>
  </si>
  <si>
    <t>00:57.4</t>
  </si>
  <si>
    <t>天火同人 (E175)</t>
  </si>
  <si>
    <t>2,3,7</t>
  </si>
  <si>
    <t>00:57.5</t>
  </si>
  <si>
    <t>友駿同心 (L214)</t>
  </si>
  <si>
    <t>12,10,8</t>
  </si>
  <si>
    <t>萬眾開心 (H208)</t>
  </si>
  <si>
    <t>7,8,9</t>
  </si>
  <si>
    <t>00:57.7</t>
  </si>
  <si>
    <t>螢影飛馳 (K228)</t>
  </si>
  <si>
    <t>6,11,10</t>
  </si>
  <si>
    <t>00:58.0</t>
  </si>
  <si>
    <t>領航多財 (L101)</t>
  </si>
  <si>
    <t>8,12,11</t>
  </si>
  <si>
    <t>00:58.5</t>
  </si>
  <si>
    <t>雙劍合璧 (L290)</t>
  </si>
  <si>
    <t>5,6,12</t>
  </si>
  <si>
    <t>Win Range</t>
    <phoneticPr fontId="2" type="noConversion"/>
  </si>
  <si>
    <t>11-20</t>
    <phoneticPr fontId="2" type="noConversion"/>
  </si>
  <si>
    <t>20-30</t>
    <phoneticPr fontId="2" type="noConversion"/>
  </si>
  <si>
    <t>&gt;30</t>
    <phoneticPr fontId="2" type="noConversion"/>
  </si>
  <si>
    <t>檔位</t>
    <phoneticPr fontId="2" type="noConversion"/>
  </si>
  <si>
    <t>1-4</t>
    <phoneticPr fontId="2" type="noConversion"/>
  </si>
  <si>
    <t>5-10</t>
    <phoneticPr fontId="2" type="noConversion"/>
  </si>
  <si>
    <t>11-12</t>
    <phoneticPr fontId="2" type="noConversion"/>
  </si>
  <si>
    <t>負磅</t>
    <phoneticPr fontId="2" type="noConversion"/>
  </si>
  <si>
    <t>&lt;117</t>
    <phoneticPr fontId="2" type="noConversion"/>
  </si>
  <si>
    <t>118-127</t>
    <phoneticPr fontId="2" type="noConversion"/>
  </si>
  <si>
    <t>&gt;128</t>
    <phoneticPr fontId="2" type="noConversion"/>
  </si>
  <si>
    <t>符合</t>
    <phoneticPr fontId="2" type="noConversion"/>
  </si>
  <si>
    <t>獨嬴賠率</t>
    <phoneticPr fontId="2" type="noConversion"/>
  </si>
  <si>
    <t>實際負磅</t>
    <phoneticPr fontId="2" type="noConversion"/>
  </si>
  <si>
    <t>獨嬴賠率排名</t>
    <phoneticPr fontId="2" type="noConversion"/>
  </si>
  <si>
    <t>第一場</t>
    <phoneticPr fontId="2" type="noConversion"/>
  </si>
  <si>
    <t>第二場</t>
    <phoneticPr fontId="2" type="noConversion"/>
  </si>
  <si>
    <t>第十一場</t>
    <phoneticPr fontId="2" type="noConversion"/>
  </si>
  <si>
    <t>第十場</t>
    <phoneticPr fontId="2" type="noConversion"/>
  </si>
  <si>
    <t>第九場</t>
    <phoneticPr fontId="2" type="noConversion"/>
  </si>
  <si>
    <t>第八場</t>
    <phoneticPr fontId="2" type="noConversion"/>
  </si>
  <si>
    <t>第七場</t>
    <phoneticPr fontId="2" type="noConversion"/>
  </si>
  <si>
    <t>第六場</t>
    <phoneticPr fontId="2" type="noConversion"/>
  </si>
  <si>
    <t>第五場</t>
    <phoneticPr fontId="2" type="noConversion"/>
  </si>
  <si>
    <t>第四場</t>
    <phoneticPr fontId="2" type="noConversion"/>
  </si>
  <si>
    <t>第三場</t>
    <phoneticPr fontId="2" type="noConversion"/>
  </si>
  <si>
    <t>場次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</si>
</sst>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"/>
    <numFmt numFmtId="181" formatCode="0.00_);[Red]\(0.00\)"/>
  </numFmts>
  <fonts count="7" x14ac:knownFonts="1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u/>
      <sz val="12"/>
      <color theme="10"/>
      <name val="新細明體"/>
      <family val="1"/>
      <charset val="136"/>
      <scheme val="minor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529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ck">
        <color rgb="FF005297"/>
      </left>
      <right style="medium">
        <color rgb="FF005297"/>
      </right>
      <top style="thick">
        <color rgb="FF005297"/>
      </top>
      <bottom/>
      <diagonal/>
    </border>
    <border>
      <left style="medium">
        <color rgb="FF005297"/>
      </left>
      <right style="medium">
        <color rgb="FF005297"/>
      </right>
      <top style="thick">
        <color rgb="FF005297"/>
      </top>
      <bottom/>
      <diagonal/>
    </border>
    <border>
      <left style="medium">
        <color rgb="FF005297"/>
      </left>
      <right style="thick">
        <color rgb="FF005297"/>
      </right>
      <top style="thick">
        <color rgb="FF005297"/>
      </top>
      <bottom/>
      <diagonal/>
    </border>
    <border>
      <left style="thick">
        <color rgb="FF005297"/>
      </left>
      <right style="medium">
        <color rgb="FF005297"/>
      </right>
      <top/>
      <bottom style="medium">
        <color rgb="FF005297"/>
      </bottom>
      <diagonal/>
    </border>
    <border>
      <left style="medium">
        <color rgb="FF005297"/>
      </left>
      <right style="medium">
        <color rgb="FF005297"/>
      </right>
      <top/>
      <bottom style="medium">
        <color rgb="FF005297"/>
      </bottom>
      <diagonal/>
    </border>
    <border>
      <left style="medium">
        <color rgb="FF005297"/>
      </left>
      <right style="thick">
        <color rgb="FF005297"/>
      </right>
      <top/>
      <bottom style="medium">
        <color rgb="FF005297"/>
      </bottom>
      <diagonal/>
    </border>
    <border>
      <left style="thick">
        <color rgb="FF005297"/>
      </left>
      <right style="medium">
        <color rgb="FF005297"/>
      </right>
      <top style="medium">
        <color rgb="FF005297"/>
      </top>
      <bottom/>
      <diagonal/>
    </border>
    <border>
      <left style="medium">
        <color rgb="FF005297"/>
      </left>
      <right style="medium">
        <color rgb="FF005297"/>
      </right>
      <top style="medium">
        <color rgb="FF005297"/>
      </top>
      <bottom/>
      <diagonal/>
    </border>
    <border>
      <left style="medium">
        <color rgb="FF005297"/>
      </left>
      <right style="thick">
        <color rgb="FF005297"/>
      </right>
      <top style="medium">
        <color rgb="FF005297"/>
      </top>
      <bottom/>
      <diagonal/>
    </border>
    <border>
      <left style="thick">
        <color rgb="FF005297"/>
      </left>
      <right style="medium">
        <color rgb="FF005297"/>
      </right>
      <top/>
      <bottom/>
      <diagonal/>
    </border>
    <border>
      <left style="medium">
        <color rgb="FF005297"/>
      </left>
      <right style="medium">
        <color rgb="FF005297"/>
      </right>
      <top/>
      <bottom/>
      <diagonal/>
    </border>
    <border>
      <left style="medium">
        <color rgb="FF005297"/>
      </left>
      <right style="thick">
        <color rgb="FF005297"/>
      </right>
      <top/>
      <bottom/>
      <diagonal/>
    </border>
    <border>
      <left style="thick">
        <color rgb="FF005297"/>
      </left>
      <right style="medium">
        <color rgb="FF005297"/>
      </right>
      <top/>
      <bottom style="thick">
        <color rgb="FF005297"/>
      </bottom>
      <diagonal/>
    </border>
    <border>
      <left style="medium">
        <color rgb="FF005297"/>
      </left>
      <right style="medium">
        <color rgb="FF005297"/>
      </right>
      <top/>
      <bottom style="thick">
        <color rgb="FF005297"/>
      </bottom>
      <diagonal/>
    </border>
    <border>
      <left style="medium">
        <color rgb="FF005297"/>
      </left>
      <right style="thick">
        <color rgb="FF005297"/>
      </right>
      <top/>
      <bottom style="thick">
        <color rgb="FF005297"/>
      </bottom>
      <diagonal/>
    </border>
    <border>
      <left style="thick">
        <color rgb="FF005297"/>
      </left>
      <right style="medium">
        <color rgb="FF005297"/>
      </right>
      <top style="medium">
        <color rgb="FF005297"/>
      </top>
      <bottom style="thick">
        <color rgb="FF005297"/>
      </bottom>
      <diagonal/>
    </border>
    <border>
      <left style="medium">
        <color rgb="FF005297"/>
      </left>
      <right style="medium">
        <color rgb="FF005297"/>
      </right>
      <top style="medium">
        <color rgb="FF005297"/>
      </top>
      <bottom style="thick">
        <color rgb="FF005297"/>
      </bottom>
      <diagonal/>
    </border>
    <border>
      <left style="medium">
        <color rgb="FF005297"/>
      </left>
      <right style="thick">
        <color rgb="FF005297"/>
      </right>
      <top style="medium">
        <color rgb="FF005297"/>
      </top>
      <bottom style="thick">
        <color rgb="FF005297"/>
      </bottom>
      <diagonal/>
    </border>
    <border>
      <left style="thick">
        <color rgb="FF005297"/>
      </left>
      <right style="medium">
        <color rgb="FF005297"/>
      </right>
      <top style="medium">
        <color rgb="FF005297"/>
      </top>
      <bottom style="medium">
        <color rgb="FF005297"/>
      </bottom>
      <diagonal/>
    </border>
    <border>
      <left style="medium">
        <color rgb="FF005297"/>
      </left>
      <right style="medium">
        <color rgb="FF005297"/>
      </right>
      <top style="medium">
        <color rgb="FF005297"/>
      </top>
      <bottom style="medium">
        <color rgb="FF005297"/>
      </bottom>
      <diagonal/>
    </border>
    <border>
      <left style="medium">
        <color rgb="FF005297"/>
      </left>
      <right style="thick">
        <color rgb="FF005297"/>
      </right>
      <top style="medium">
        <color rgb="FF005297"/>
      </top>
      <bottom style="medium">
        <color rgb="FF00529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6" fillId="3" borderId="8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vertical="top"/>
    </xf>
    <xf numFmtId="0" fontId="4" fillId="3" borderId="17" xfId="0" applyFont="1" applyFill="1" applyBorder="1" applyAlignment="1">
      <alignment vertical="top" wrapText="1"/>
    </xf>
    <xf numFmtId="0" fontId="1" fillId="3" borderId="17" xfId="1" applyFill="1" applyBorder="1" applyAlignment="1">
      <alignment horizontal="left" vertical="top"/>
    </xf>
    <xf numFmtId="0" fontId="1" fillId="3" borderId="17" xfId="1" applyFill="1" applyBorder="1" applyAlignment="1">
      <alignment horizontal="left" vertical="top" wrapText="1"/>
    </xf>
    <xf numFmtId="0" fontId="4" fillId="3" borderId="18" xfId="0" applyFont="1" applyFill="1" applyBorder="1" applyAlignment="1">
      <alignment vertical="top" wrapText="1"/>
    </xf>
    <xf numFmtId="0" fontId="4" fillId="3" borderId="19" xfId="0" applyFont="1" applyFill="1" applyBorder="1" applyAlignment="1">
      <alignment vertical="top"/>
    </xf>
    <xf numFmtId="0" fontId="4" fillId="3" borderId="20" xfId="0" applyFont="1" applyFill="1" applyBorder="1" applyAlignment="1">
      <alignment vertical="top" wrapText="1"/>
    </xf>
    <xf numFmtId="0" fontId="1" fillId="3" borderId="20" xfId="1" applyFill="1" applyBorder="1" applyAlignment="1">
      <alignment horizontal="left" vertical="top"/>
    </xf>
    <xf numFmtId="0" fontId="1" fillId="3" borderId="20" xfId="1" applyFill="1" applyBorder="1" applyAlignment="1">
      <alignment horizontal="left" vertical="top" wrapText="1"/>
    </xf>
    <xf numFmtId="0" fontId="4" fillId="3" borderId="21" xfId="0" applyFont="1" applyFill="1" applyBorder="1" applyAlignment="1">
      <alignment vertical="top" wrapText="1"/>
    </xf>
    <xf numFmtId="0" fontId="4" fillId="4" borderId="16" xfId="0" applyFont="1" applyFill="1" applyBorder="1" applyAlignment="1">
      <alignment vertical="top"/>
    </xf>
    <xf numFmtId="0" fontId="4" fillId="4" borderId="17" xfId="0" applyFont="1" applyFill="1" applyBorder="1" applyAlignment="1">
      <alignment vertical="top" wrapText="1"/>
    </xf>
    <xf numFmtId="0" fontId="1" fillId="4" borderId="17" xfId="1" applyFill="1" applyBorder="1" applyAlignment="1">
      <alignment horizontal="left" vertical="top"/>
    </xf>
    <xf numFmtId="0" fontId="1" fillId="4" borderId="17" xfId="1" applyFill="1" applyBorder="1" applyAlignment="1">
      <alignment horizontal="left" vertical="top" wrapText="1"/>
    </xf>
    <xf numFmtId="0" fontId="4" fillId="4" borderId="18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vertical="top" wrapText="1"/>
    </xf>
    <xf numFmtId="47" fontId="4" fillId="3" borderId="8" xfId="0" applyNumberFormat="1" applyFont="1" applyFill="1" applyBorder="1" applyAlignment="1">
      <alignment vertical="top" wrapText="1"/>
    </xf>
    <xf numFmtId="0" fontId="4" fillId="3" borderId="9" xfId="0" applyFont="1" applyFill="1" applyBorder="1" applyAlignment="1">
      <alignment vertical="top" wrapText="1"/>
    </xf>
    <xf numFmtId="0" fontId="4" fillId="3" borderId="7" xfId="0" applyFont="1" applyFill="1" applyBorder="1" applyAlignment="1">
      <alignment vertical="top"/>
    </xf>
    <xf numFmtId="0" fontId="1" fillId="3" borderId="8" xfId="1" applyFill="1" applyBorder="1" applyAlignment="1">
      <alignment vertical="top"/>
    </xf>
    <xf numFmtId="0" fontId="1" fillId="3" borderId="8" xfId="1" applyFill="1" applyBorder="1" applyAlignment="1">
      <alignment vertical="top" wrapText="1"/>
    </xf>
    <xf numFmtId="0" fontId="1" fillId="4" borderId="17" xfId="1" applyFill="1" applyBorder="1" applyAlignment="1">
      <alignment vertical="top"/>
    </xf>
    <xf numFmtId="0" fontId="1" fillId="4" borderId="17" xfId="1" applyFill="1" applyBorder="1" applyAlignment="1">
      <alignment vertical="top" wrapText="1"/>
    </xf>
    <xf numFmtId="0" fontId="6" fillId="4" borderId="17" xfId="0" applyFont="1" applyFill="1" applyBorder="1" applyAlignment="1">
      <alignment horizontal="center" vertical="center"/>
    </xf>
    <xf numFmtId="47" fontId="4" fillId="4" borderId="17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4" fillId="4" borderId="8" xfId="0" applyFont="1" applyFill="1" applyBorder="1" applyAlignment="1">
      <alignment vertical="top" wrapText="1"/>
    </xf>
    <xf numFmtId="0" fontId="4" fillId="4" borderId="11" xfId="0" applyFont="1" applyFill="1" applyBorder="1" applyAlignment="1">
      <alignment vertical="top" wrapText="1"/>
    </xf>
    <xf numFmtId="0" fontId="4" fillId="4" borderId="14" xfId="0" applyFont="1" applyFill="1" applyBorder="1" applyAlignment="1">
      <alignment vertical="top" wrapText="1"/>
    </xf>
    <xf numFmtId="14" fontId="4" fillId="4" borderId="8" xfId="0" applyNumberFormat="1" applyFont="1" applyFill="1" applyBorder="1" applyAlignment="1">
      <alignment vertical="top" wrapText="1"/>
    </xf>
    <xf numFmtId="14" fontId="4" fillId="4" borderId="11" xfId="0" applyNumberFormat="1" applyFont="1" applyFill="1" applyBorder="1" applyAlignment="1">
      <alignment vertical="top" wrapText="1"/>
    </xf>
    <xf numFmtId="14" fontId="4" fillId="4" borderId="14" xfId="0" applyNumberFormat="1" applyFont="1" applyFill="1" applyBorder="1" applyAlignment="1">
      <alignment vertical="top" wrapText="1"/>
    </xf>
    <xf numFmtId="47" fontId="4" fillId="4" borderId="8" xfId="0" applyNumberFormat="1" applyFont="1" applyFill="1" applyBorder="1" applyAlignment="1">
      <alignment vertical="top" wrapText="1"/>
    </xf>
    <xf numFmtId="47" fontId="4" fillId="4" borderId="11" xfId="0" applyNumberFormat="1" applyFont="1" applyFill="1" applyBorder="1" applyAlignment="1">
      <alignment vertical="top" wrapText="1"/>
    </xf>
    <xf numFmtId="47" fontId="4" fillId="4" borderId="14" xfId="0" applyNumberFormat="1" applyFont="1" applyFill="1" applyBorder="1" applyAlignment="1">
      <alignment vertical="top" wrapText="1"/>
    </xf>
    <xf numFmtId="0" fontId="4" fillId="4" borderId="9" xfId="0" applyFont="1" applyFill="1" applyBorder="1" applyAlignment="1">
      <alignment vertical="top" wrapText="1"/>
    </xf>
    <xf numFmtId="0" fontId="4" fillId="4" borderId="12" xfId="0" applyFont="1" applyFill="1" applyBorder="1" applyAlignment="1">
      <alignment vertical="top" wrapText="1"/>
    </xf>
    <xf numFmtId="0" fontId="4" fillId="4" borderId="15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top" wrapText="1"/>
    </xf>
    <xf numFmtId="0" fontId="4" fillId="3" borderId="11" xfId="0" applyFont="1" applyFill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47" fontId="4" fillId="3" borderId="8" xfId="0" applyNumberFormat="1" applyFont="1" applyFill="1" applyBorder="1" applyAlignment="1">
      <alignment vertical="top" wrapText="1"/>
    </xf>
    <xf numFmtId="47" fontId="4" fillId="3" borderId="11" xfId="0" applyNumberFormat="1" applyFont="1" applyFill="1" applyBorder="1" applyAlignment="1">
      <alignment vertical="top" wrapText="1"/>
    </xf>
    <xf numFmtId="47" fontId="4" fillId="3" borderId="5" xfId="0" applyNumberFormat="1" applyFont="1" applyFill="1" applyBorder="1" applyAlignment="1">
      <alignment vertical="top" wrapText="1"/>
    </xf>
    <xf numFmtId="0" fontId="4" fillId="3" borderId="9" xfId="0" applyFont="1" applyFill="1" applyBorder="1" applyAlignment="1">
      <alignment vertical="top" wrapText="1"/>
    </xf>
    <xf numFmtId="0" fontId="4" fillId="3" borderId="12" xfId="0" applyFont="1" applyFill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0" fontId="4" fillId="4" borderId="7" xfId="0" applyFont="1" applyFill="1" applyBorder="1" applyAlignment="1">
      <alignment vertical="top"/>
    </xf>
    <xf numFmtId="0" fontId="4" fillId="4" borderId="10" xfId="0" applyFont="1" applyFill="1" applyBorder="1" applyAlignment="1">
      <alignment vertical="top"/>
    </xf>
    <xf numFmtId="0" fontId="4" fillId="4" borderId="13" xfId="0" applyFont="1" applyFill="1" applyBorder="1" applyAlignment="1">
      <alignment vertical="top"/>
    </xf>
    <xf numFmtId="0" fontId="1" fillId="4" borderId="8" xfId="1" applyFill="1" applyBorder="1" applyAlignment="1">
      <alignment horizontal="left" vertical="top"/>
    </xf>
    <xf numFmtId="0" fontId="1" fillId="4" borderId="11" xfId="1" applyFill="1" applyBorder="1" applyAlignment="1">
      <alignment horizontal="left" vertical="top"/>
    </xf>
    <xf numFmtId="0" fontId="1" fillId="4" borderId="14" xfId="1" applyFill="1" applyBorder="1" applyAlignment="1">
      <alignment horizontal="left" vertical="top"/>
    </xf>
    <xf numFmtId="0" fontId="1" fillId="4" borderId="8" xfId="1" applyFill="1" applyBorder="1" applyAlignment="1">
      <alignment horizontal="left" vertical="top" wrapText="1"/>
    </xf>
    <xf numFmtId="0" fontId="1" fillId="4" borderId="11" xfId="1" applyFill="1" applyBorder="1" applyAlignment="1">
      <alignment horizontal="left" vertical="top" wrapText="1"/>
    </xf>
    <xf numFmtId="0" fontId="1" fillId="4" borderId="14" xfId="1" applyFill="1" applyBorder="1" applyAlignment="1">
      <alignment horizontal="left" vertical="top" wrapText="1"/>
    </xf>
    <xf numFmtId="0" fontId="4" fillId="3" borderId="7" xfId="0" applyFont="1" applyFill="1" applyBorder="1" applyAlignment="1">
      <alignment vertical="top"/>
    </xf>
    <xf numFmtId="0" fontId="4" fillId="3" borderId="10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1" fillId="3" borderId="8" xfId="1" applyFill="1" applyBorder="1" applyAlignment="1">
      <alignment horizontal="left" vertical="top"/>
    </xf>
    <xf numFmtId="0" fontId="1" fillId="3" borderId="11" xfId="1" applyFill="1" applyBorder="1" applyAlignment="1">
      <alignment horizontal="left" vertical="top"/>
    </xf>
    <xf numFmtId="0" fontId="1" fillId="3" borderId="5" xfId="1" applyFill="1" applyBorder="1" applyAlignment="1">
      <alignment horizontal="left" vertical="top"/>
    </xf>
    <xf numFmtId="0" fontId="1" fillId="3" borderId="8" xfId="1" applyFill="1" applyBorder="1" applyAlignment="1">
      <alignment horizontal="left" vertical="top" wrapText="1"/>
    </xf>
    <xf numFmtId="0" fontId="1" fillId="3" borderId="11" xfId="1" applyFill="1" applyBorder="1" applyAlignment="1">
      <alignment horizontal="left" vertical="top" wrapText="1"/>
    </xf>
    <xf numFmtId="0" fontId="1" fillId="3" borderId="5" xfId="1" applyFill="1" applyBorder="1" applyAlignment="1">
      <alignment horizontal="left" vertical="top" wrapText="1"/>
    </xf>
    <xf numFmtId="0" fontId="4" fillId="4" borderId="5" xfId="0" applyFont="1" applyFill="1" applyBorder="1" applyAlignment="1">
      <alignment vertical="top" wrapText="1"/>
    </xf>
    <xf numFmtId="14" fontId="4" fillId="4" borderId="5" xfId="0" applyNumberFormat="1" applyFont="1" applyFill="1" applyBorder="1" applyAlignment="1">
      <alignment vertical="top" wrapText="1"/>
    </xf>
    <xf numFmtId="47" fontId="4" fillId="4" borderId="5" xfId="0" applyNumberFormat="1" applyFont="1" applyFill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14" fontId="4" fillId="3" borderId="8" xfId="0" applyNumberFormat="1" applyFont="1" applyFill="1" applyBorder="1" applyAlignment="1">
      <alignment vertical="top" wrapText="1"/>
    </xf>
    <xf numFmtId="14" fontId="4" fillId="3" borderId="11" xfId="0" applyNumberFormat="1" applyFont="1" applyFill="1" applyBorder="1" applyAlignment="1">
      <alignment vertical="top" wrapText="1"/>
    </xf>
    <xf numFmtId="14" fontId="4" fillId="3" borderId="5" xfId="0" applyNumberFormat="1" applyFont="1" applyFill="1" applyBorder="1" applyAlignment="1">
      <alignment vertical="top" wrapText="1"/>
    </xf>
    <xf numFmtId="0" fontId="4" fillId="4" borderId="4" xfId="0" applyFont="1" applyFill="1" applyBorder="1" applyAlignment="1">
      <alignment vertical="top"/>
    </xf>
    <xf numFmtId="0" fontId="1" fillId="4" borderId="5" xfId="1" applyFill="1" applyBorder="1" applyAlignment="1">
      <alignment horizontal="left" vertical="top"/>
    </xf>
    <xf numFmtId="0" fontId="1" fillId="4" borderId="5" xfId="1" applyFill="1" applyBorder="1" applyAlignment="1">
      <alignment horizontal="left" vertical="top" wrapText="1"/>
    </xf>
    <xf numFmtId="0" fontId="4" fillId="3" borderId="2" xfId="0" applyFont="1" applyFill="1" applyBorder="1" applyAlignment="1">
      <alignment vertical="top" wrapText="1"/>
    </xf>
    <xf numFmtId="47" fontId="4" fillId="3" borderId="2" xfId="0" applyNumberFormat="1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1" fillId="3" borderId="2" xfId="1" applyFill="1" applyBorder="1" applyAlignment="1">
      <alignment horizontal="left" vertical="top"/>
    </xf>
    <xf numFmtId="0" fontId="1" fillId="3" borderId="2" xfId="1" applyFill="1" applyBorder="1" applyAlignment="1">
      <alignment horizontal="left" vertical="top" wrapText="1"/>
    </xf>
    <xf numFmtId="0" fontId="1" fillId="4" borderId="7" xfId="1" applyFill="1" applyBorder="1" applyAlignment="1">
      <alignment vertical="top"/>
    </xf>
    <xf numFmtId="0" fontId="1" fillId="4" borderId="10" xfId="1" applyFill="1" applyBorder="1" applyAlignment="1">
      <alignment vertical="top"/>
    </xf>
    <xf numFmtId="0" fontId="1" fillId="4" borderId="4" xfId="1" applyFill="1" applyBorder="1" applyAlignment="1">
      <alignment vertical="top"/>
    </xf>
    <xf numFmtId="0" fontId="1" fillId="3" borderId="7" xfId="1" applyFill="1" applyBorder="1" applyAlignment="1">
      <alignment vertical="top"/>
    </xf>
    <xf numFmtId="0" fontId="1" fillId="3" borderId="10" xfId="1" applyFill="1" applyBorder="1" applyAlignment="1">
      <alignment vertical="top"/>
    </xf>
    <xf numFmtId="0" fontId="1" fillId="3" borderId="4" xfId="1" applyFill="1" applyBorder="1" applyAlignment="1">
      <alignment vertical="top"/>
    </xf>
    <xf numFmtId="176" fontId="4" fillId="3" borderId="8" xfId="0" applyNumberFormat="1" applyFont="1" applyFill="1" applyBorder="1" applyAlignment="1">
      <alignment vertical="top" wrapText="1"/>
    </xf>
    <xf numFmtId="176" fontId="4" fillId="3" borderId="11" xfId="0" applyNumberFormat="1" applyFont="1" applyFill="1" applyBorder="1" applyAlignment="1">
      <alignment vertical="top" wrapText="1"/>
    </xf>
    <xf numFmtId="176" fontId="4" fillId="3" borderId="5" xfId="0" applyNumberFormat="1" applyFont="1" applyFill="1" applyBorder="1" applyAlignment="1">
      <alignment vertical="top" wrapText="1"/>
    </xf>
    <xf numFmtId="176" fontId="4" fillId="4" borderId="8" xfId="0" applyNumberFormat="1" applyFont="1" applyFill="1" applyBorder="1" applyAlignment="1">
      <alignment vertical="top" wrapText="1"/>
    </xf>
    <xf numFmtId="176" fontId="4" fillId="4" borderId="11" xfId="0" applyNumberFormat="1" applyFont="1" applyFill="1" applyBorder="1" applyAlignment="1">
      <alignment vertical="top" wrapText="1"/>
    </xf>
    <xf numFmtId="176" fontId="4" fillId="4" borderId="5" xfId="0" applyNumberFormat="1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81" fontId="0" fillId="0" borderId="0" xfId="0" quotePrefix="1" applyNumberFormat="1">
      <alignment vertical="center"/>
    </xf>
    <xf numFmtId="181" fontId="0" fillId="0" borderId="22" xfId="0" quotePrefix="1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>
      <alignment vertical="center"/>
    </xf>
    <xf numFmtId="181" fontId="0" fillId="0" borderId="22" xfId="0" quotePrefix="1" applyNumberFormat="1" applyBorder="1">
      <alignment vertical="center"/>
    </xf>
    <xf numFmtId="181" fontId="0" fillId="0" borderId="0" xfId="0" quotePrefix="1" applyNumberFormat="1" applyBorder="1" applyAlignment="1">
      <alignment horizontal="center" vertical="center"/>
    </xf>
    <xf numFmtId="181" fontId="0" fillId="0" borderId="0" xfId="0" quotePrefix="1" applyNumberFormat="1" applyBorder="1">
      <alignment vertical="center"/>
    </xf>
    <xf numFmtId="0" fontId="0" fillId="0" borderId="0" xfId="0" applyBorder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racing.hkjc.com/zh-hk/local/info/finishphoto?path=//consvc.hkjc.com/-/media/Sites/JCRW/FinishPhotos/26_27/20260923/20260923R06_P4.jpg" TargetMode="External"/><Relationship Id="rId3" Type="http://schemas.openxmlformats.org/officeDocument/2006/relationships/hyperlink" Target="https://racing.hkjc.com/zh-hk/local/info/finishphoto?path=//consvc.hkjc.com/-/media/Sites/JCRW/FinishPhotos/26_27/20260923/20260923R02_P3.jpg" TargetMode="External"/><Relationship Id="rId7" Type="http://schemas.openxmlformats.org/officeDocument/2006/relationships/hyperlink" Target="https://racing.hkjc.com/zh-hk/local/info/finishphoto?path=//consvc.hkjc.com/-/media/Sites/JCRW/FinishPhotos/26_27/20260923/20260923R05_P3.jpg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racing.hkjc.com/zh-hk/local/info/finishphoto?path=//consvc.hkjc.com/-/media/Sites/JCRW/FinishPhotos/26_27/20260923/20260923R02_P2.jpg" TargetMode="External"/><Relationship Id="rId6" Type="http://schemas.openxmlformats.org/officeDocument/2006/relationships/hyperlink" Target="https://racing.hkjc.com/zh-hk/local/info/finishphoto?path=//consvc.hkjc.com/-/media/Sites/JCRW/FinishPhotos/26_27/20260923/20260923R04_P1.jpg" TargetMode="External"/><Relationship Id="rId11" Type="http://schemas.openxmlformats.org/officeDocument/2006/relationships/hyperlink" Target="https://racing.hkjc.com/zh-hk/local/info/finishphoto?path=//consvc.hkjc.com/-/media/Sites/JCRW/FinishPhotos/26_27/20260923/20260923R08_P4.jpg" TargetMode="External"/><Relationship Id="rId5" Type="http://schemas.openxmlformats.org/officeDocument/2006/relationships/hyperlink" Target="https://racing.hkjc.com/zh-hk/local/info/finishphoto?path=//consvc.hkjc.com/-/media/Sites/JCRW/FinishPhotos/26_27/20260923/20260923R03_P4.jpg" TargetMode="External"/><Relationship Id="rId10" Type="http://schemas.openxmlformats.org/officeDocument/2006/relationships/hyperlink" Target="https://racing.hkjc.com/zh-hk/local/info/finishphoto?path=//consvc.hkjc.com/-/media/Sites/JCRW/FinishPhotos/26_27/20260923/20260923R08_P3.jpg" TargetMode="External"/><Relationship Id="rId4" Type="http://schemas.openxmlformats.org/officeDocument/2006/relationships/hyperlink" Target="https://racing.hkjc.com/zh-hk/local/info/finishphoto?path=//consvc.hkjc.com/-/media/Sites/JCRW/FinishPhotos/26_27/20260923/20260923R03_P2.jpg" TargetMode="External"/><Relationship Id="rId9" Type="http://schemas.openxmlformats.org/officeDocument/2006/relationships/hyperlink" Target="https://racing.hkjc.com/zh-hk/local/info/finishphoto?path=//consvc.hkjc.com/-/media/Sites/JCRW/FinishPhotos/26_27/20260923/20260923R07_P4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55</xdr:row>
      <xdr:rowOff>0</xdr:rowOff>
    </xdr:from>
    <xdr:to>
      <xdr:col>0</xdr:col>
      <xdr:colOff>104775</xdr:colOff>
      <xdr:row>55</xdr:row>
      <xdr:rowOff>95250</xdr:rowOff>
    </xdr:to>
    <xdr:pic>
      <xdr:nvPicPr>
        <xdr:cNvPr id="2" name="圖片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080E8-50CF-4631-851B-9C5A67A96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2535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104775</xdr:colOff>
      <xdr:row>58</xdr:row>
      <xdr:rowOff>95250</xdr:rowOff>
    </xdr:to>
    <xdr:pic>
      <xdr:nvPicPr>
        <xdr:cNvPr id="3" name="圖片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6673D2E-9274-48AB-BCF3-00F7F494D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63525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104775</xdr:colOff>
      <xdr:row>94</xdr:row>
      <xdr:rowOff>95250</xdr:rowOff>
    </xdr:to>
    <xdr:pic>
      <xdr:nvPicPr>
        <xdr:cNvPr id="4" name="圖片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1957E8B-F269-479A-8186-341944397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3115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104775</xdr:colOff>
      <xdr:row>102</xdr:row>
      <xdr:rowOff>95250</xdr:rowOff>
    </xdr:to>
    <xdr:pic>
      <xdr:nvPicPr>
        <xdr:cNvPr id="5" name="圖片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2CE4CA2-BF10-4B1A-9651-ADA38F5D5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2660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104775</xdr:colOff>
      <xdr:row>141</xdr:row>
      <xdr:rowOff>95250</xdr:rowOff>
    </xdr:to>
    <xdr:pic>
      <xdr:nvPicPr>
        <xdr:cNvPr id="6" name="圖片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472CE62-8BE9-425C-ABC4-4C208EF9D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1335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104775</xdr:colOff>
      <xdr:row>183</xdr:row>
      <xdr:rowOff>95250</xdr:rowOff>
    </xdr:to>
    <xdr:pic>
      <xdr:nvPicPr>
        <xdr:cNvPr id="7" name="圖片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864D457-3BE9-4454-BBC7-9544EEB8D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6685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104775</xdr:colOff>
      <xdr:row>234</xdr:row>
      <xdr:rowOff>95250</xdr:rowOff>
    </xdr:to>
    <xdr:pic>
      <xdr:nvPicPr>
        <xdr:cNvPr id="8" name="圖片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974AA59-EF49-4700-B143-A78F218AC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96775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104775</xdr:colOff>
      <xdr:row>234</xdr:row>
      <xdr:rowOff>95250</xdr:rowOff>
    </xdr:to>
    <xdr:pic>
      <xdr:nvPicPr>
        <xdr:cNvPr id="9" name="圖片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46661F2-BA7D-420E-9000-D5DBA31A0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96775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267</xdr:row>
      <xdr:rowOff>0</xdr:rowOff>
    </xdr:from>
    <xdr:to>
      <xdr:col>0</xdr:col>
      <xdr:colOff>104775</xdr:colOff>
      <xdr:row>267</xdr:row>
      <xdr:rowOff>95250</xdr:rowOff>
    </xdr:to>
    <xdr:pic>
      <xdr:nvPicPr>
        <xdr:cNvPr id="10" name="圖片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CE14095-986C-4151-9337-AD69E87C8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26225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104775</xdr:colOff>
      <xdr:row>270</xdr:row>
      <xdr:rowOff>95250</xdr:rowOff>
    </xdr:to>
    <xdr:pic>
      <xdr:nvPicPr>
        <xdr:cNvPr id="11" name="圖片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F7A5CF5-3746-43F6-A2E7-BE8430A06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06440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380</xdr:row>
      <xdr:rowOff>0</xdr:rowOff>
    </xdr:from>
    <xdr:to>
      <xdr:col>0</xdr:col>
      <xdr:colOff>104775</xdr:colOff>
      <xdr:row>380</xdr:row>
      <xdr:rowOff>95250</xdr:rowOff>
    </xdr:to>
    <xdr:pic>
      <xdr:nvPicPr>
        <xdr:cNvPr id="12" name="圖片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B4BE4F6-2CC2-69C0-0D58-6CB94A12A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810100"/>
          <a:ext cx="104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acing.hkjc.com/zh-hk/local/information/horse?horseid=HK_2024_K325" TargetMode="External"/><Relationship Id="rId299" Type="http://schemas.openxmlformats.org/officeDocument/2006/relationships/hyperlink" Target="https://racing.hkjc.com/zh-hk/local/information/jockeyprofile?jockeyid=OJM&amp;Season=Current" TargetMode="External"/><Relationship Id="rId21" Type="http://schemas.openxmlformats.org/officeDocument/2006/relationships/hyperlink" Target="https://racing.hkjc.com/zh-hk/local/information/trainerprofile?trainerid=SJJ&amp;Season=Current" TargetMode="External"/><Relationship Id="rId63" Type="http://schemas.openxmlformats.org/officeDocument/2006/relationships/hyperlink" Target="https://racing.hkjc.com/zh-hk/local/information/horse?horseid=HK_2025_L284" TargetMode="External"/><Relationship Id="rId159" Type="http://schemas.openxmlformats.org/officeDocument/2006/relationships/hyperlink" Target="https://racing.hkjc.com/zh-hk/local/info/finishphoto?path=//consvc.hkjc.com/-/media/Sites/JCRW/FinishPhotos/26_27/20260923/20260923R05_P3.jpg" TargetMode="External"/><Relationship Id="rId324" Type="http://schemas.openxmlformats.org/officeDocument/2006/relationships/hyperlink" Target="https://racing.hkjc.com/zh-hk/local/information/jockeyprofile?jockeyid=OJM&amp;Season=Current" TargetMode="External"/><Relationship Id="rId170" Type="http://schemas.openxmlformats.org/officeDocument/2006/relationships/hyperlink" Target="https://racing.hkjc.com/zh-hk/local/information/jockeyprofile?jockeyid=CJE&amp;Season=Current" TargetMode="External"/><Relationship Id="rId226" Type="http://schemas.openxmlformats.org/officeDocument/2006/relationships/hyperlink" Target="https://racing.hkjc.com/zh-hk/local/information/trainerprofile?trainerid=SCS&amp;Season=Current" TargetMode="External"/><Relationship Id="rId268" Type="http://schemas.openxmlformats.org/officeDocument/2006/relationships/hyperlink" Target="https://racing.hkjc.com/zh-hk/local/information/horse?horseid=HK_2024_K381" TargetMode="External"/><Relationship Id="rId32" Type="http://schemas.openxmlformats.org/officeDocument/2006/relationships/hyperlink" Target="https://racing.hkjc.com/zh-hk/local/information/jockeyprofile?jockeyid=OJM&amp;Season=Current" TargetMode="External"/><Relationship Id="rId74" Type="http://schemas.openxmlformats.org/officeDocument/2006/relationships/hyperlink" Target="https://racing.hkjc.com/zh-hk/local/information/trainerprofile?trainerid=FC&amp;Season=Current" TargetMode="External"/><Relationship Id="rId128" Type="http://schemas.openxmlformats.org/officeDocument/2006/relationships/hyperlink" Target="https://racing.hkjc.com/zh-hk/local/information/trainerprofile?trainerid=WDJ&amp;Season=Current" TargetMode="External"/><Relationship Id="rId335" Type="http://schemas.openxmlformats.org/officeDocument/2006/relationships/hyperlink" Target="https://racing.hkjc.com/zh-hk/local/information/horse?horseid=HK_2024_K228" TargetMode="External"/><Relationship Id="rId5" Type="http://schemas.openxmlformats.org/officeDocument/2006/relationships/hyperlink" Target="https://racing.hkjc.com/zh-hk/local/information/jockeyprofile?jockeyid=PZ&amp;Season=Current" TargetMode="External"/><Relationship Id="rId181" Type="http://schemas.openxmlformats.org/officeDocument/2006/relationships/hyperlink" Target="https://racing.hkjc.com/zh-hk/local/information/horse?horseid=HK_2024_K374" TargetMode="External"/><Relationship Id="rId237" Type="http://schemas.openxmlformats.org/officeDocument/2006/relationships/hyperlink" Target="https://racing.hkjc.com/zh-hk/local/info/finishphoto?path=//consvc.hkjc.com/-/media/Sites/JCRW/FinishPhotos/26_27/20260923/20260923R08_P4.jpg" TargetMode="External"/><Relationship Id="rId279" Type="http://schemas.openxmlformats.org/officeDocument/2006/relationships/hyperlink" Target="https://racing.hkjc.com/zh-hk/local/information/trainerprofile?trainerid=CAS&amp;Season=Current" TargetMode="External"/><Relationship Id="rId43" Type="http://schemas.openxmlformats.org/officeDocument/2006/relationships/hyperlink" Target="https://racing.hkjc.com/zh-hk/local/information/trainerprofile?trainerid=SCS&amp;Season=Current" TargetMode="External"/><Relationship Id="rId139" Type="http://schemas.openxmlformats.org/officeDocument/2006/relationships/hyperlink" Target="https://racing.hkjc.com/zh-hk/local/information/jockeyprofile?jockeyid=HEL&amp;Season=Current" TargetMode="External"/><Relationship Id="rId290" Type="http://schemas.openxmlformats.org/officeDocument/2006/relationships/hyperlink" Target="https://racing.hkjc.com/zh-hk/local/information/jockeyprofile?jockeyid=PMF&amp;Season=Current" TargetMode="External"/><Relationship Id="rId304" Type="http://schemas.openxmlformats.org/officeDocument/2006/relationships/hyperlink" Target="https://racing.hkjc.com/zh-hk/local/information/horse?horseid=HK_2024_K028" TargetMode="External"/><Relationship Id="rId85" Type="http://schemas.openxmlformats.org/officeDocument/2006/relationships/hyperlink" Target="https://racing.hkjc.com/zh-hk/local/info/finishphoto?path=//consvc.hkjc.com/-/media/Sites/JCRW/FinishPhotos/26_27/20260923/20260923R03_P4.jpg" TargetMode="External"/><Relationship Id="rId150" Type="http://schemas.openxmlformats.org/officeDocument/2006/relationships/hyperlink" Target="https://racing.hkjc.com/zh-hk/local/information/horse?horseid=HK_2025_L420" TargetMode="External"/><Relationship Id="rId192" Type="http://schemas.openxmlformats.org/officeDocument/2006/relationships/hyperlink" Target="https://racing.hkjc.com/zh-hk/local/information/trainerprofile?trainerid=NPC&amp;Season=Current" TargetMode="External"/><Relationship Id="rId206" Type="http://schemas.openxmlformats.org/officeDocument/2006/relationships/hyperlink" Target="https://racing.hkjc.com/zh-hk/local/information/horse?horseid=HK_2023_J370" TargetMode="External"/><Relationship Id="rId248" Type="http://schemas.openxmlformats.org/officeDocument/2006/relationships/hyperlink" Target="https://racing.hkjc.com/zh-hk/local/information/jockeyprofile?jockeyid=YHY&amp;Season=Current" TargetMode="External"/><Relationship Id="rId12" Type="http://schemas.openxmlformats.org/officeDocument/2006/relationships/hyperlink" Target="https://racing.hkjc.com/zh-hk/local/information/trainerprofile?trainerid=CBJ&amp;Season=Current" TargetMode="External"/><Relationship Id="rId108" Type="http://schemas.openxmlformats.org/officeDocument/2006/relationships/hyperlink" Target="https://racing.hkjc.com/zh-hk/local/information/jockeyprofile?jockeyid=LDE&amp;Season=Current" TargetMode="External"/><Relationship Id="rId315" Type="http://schemas.openxmlformats.org/officeDocument/2006/relationships/hyperlink" Target="https://racing.hkjc.com/zh-hk/local/information/trainerprofile?trainerid=LKW&amp;Season=Current" TargetMode="External"/><Relationship Id="rId54" Type="http://schemas.openxmlformats.org/officeDocument/2006/relationships/hyperlink" Target="https://racing.hkjc.com/zh-hk/local/information/horse?horseid=HK_2024_K320" TargetMode="External"/><Relationship Id="rId96" Type="http://schemas.openxmlformats.org/officeDocument/2006/relationships/hyperlink" Target="https://racing.hkjc.com/zh-hk/local/information/jockeyprofile?jockeyid=FEL&amp;Season=Current" TargetMode="External"/><Relationship Id="rId161" Type="http://schemas.openxmlformats.org/officeDocument/2006/relationships/hyperlink" Target="https://racing.hkjc.com/zh-hk/local/information/jockeyprofile?jockeyid=HCY&amp;Season=Current" TargetMode="External"/><Relationship Id="rId217" Type="http://schemas.openxmlformats.org/officeDocument/2006/relationships/hyperlink" Target="https://racing.hkjc.com/zh-hk/local/information/trainerprofile?trainerid=HAD&amp;Season=Current" TargetMode="External"/><Relationship Id="rId259" Type="http://schemas.openxmlformats.org/officeDocument/2006/relationships/hyperlink" Target="https://racing.hkjc.com/zh-hk/local/information/horse?horseid=HK_2024_K516" TargetMode="External"/><Relationship Id="rId23" Type="http://schemas.openxmlformats.org/officeDocument/2006/relationships/hyperlink" Target="https://racing.hkjc.com/zh-hk/local/information/jockeyprofile?jockeyid=YML&amp;Season=Current" TargetMode="External"/><Relationship Id="rId119" Type="http://schemas.openxmlformats.org/officeDocument/2006/relationships/hyperlink" Target="https://racing.hkjc.com/zh-hk/local/information/trainerprofile?trainerid=HAD&amp;Season=Current" TargetMode="External"/><Relationship Id="rId270" Type="http://schemas.openxmlformats.org/officeDocument/2006/relationships/hyperlink" Target="https://racing.hkjc.com/zh-hk/local/information/trainerprofile?trainerid=LKW&amp;Season=Current" TargetMode="External"/><Relationship Id="rId326" Type="http://schemas.openxmlformats.org/officeDocument/2006/relationships/hyperlink" Target="https://racing.hkjc.com/zh-hk/local/information/horse?horseid=HK_2020_E175" TargetMode="External"/><Relationship Id="rId65" Type="http://schemas.openxmlformats.org/officeDocument/2006/relationships/hyperlink" Target="https://racing.hkjc.com/zh-hk/local/information/trainerprofile?trainerid=TYS&amp;Season=Current" TargetMode="External"/><Relationship Id="rId130" Type="http://schemas.openxmlformats.org/officeDocument/2006/relationships/hyperlink" Target="https://racing.hkjc.com/zh-hk/local/information/jockeyprofile?jockeyid=WEC&amp;Season=Current" TargetMode="External"/><Relationship Id="rId172" Type="http://schemas.openxmlformats.org/officeDocument/2006/relationships/hyperlink" Target="https://racing.hkjc.com/zh-hk/local/information/horse?horseid=HK_2025_L093" TargetMode="External"/><Relationship Id="rId228" Type="http://schemas.openxmlformats.org/officeDocument/2006/relationships/hyperlink" Target="https://racing.hkjc.com/zh-hk/local/information/jockeyprofile?jockeyid=AA&amp;Season=Current" TargetMode="External"/><Relationship Id="rId281" Type="http://schemas.openxmlformats.org/officeDocument/2006/relationships/hyperlink" Target="https://racing.hkjc.com/zh-hk/local/information/jockeyprofile?jockeyid=TEK&amp;Season=Current" TargetMode="External"/><Relationship Id="rId337" Type="http://schemas.openxmlformats.org/officeDocument/2006/relationships/hyperlink" Target="https://racing.hkjc.com/zh-hk/local/information/trainerprofile?trainerid=TYS&amp;Season=Current" TargetMode="External"/><Relationship Id="rId34" Type="http://schemas.openxmlformats.org/officeDocument/2006/relationships/hyperlink" Target="https://racing.hkjc.com/zh-hk/local/information/horse?horseid=HK_2024_K336" TargetMode="External"/><Relationship Id="rId76" Type="http://schemas.openxmlformats.org/officeDocument/2006/relationships/hyperlink" Target="https://racing.hkjc.com/zh-hk/local/information/jockeyprofile?jockeyid=CJE&amp;Season=Current" TargetMode="External"/><Relationship Id="rId141" Type="http://schemas.openxmlformats.org/officeDocument/2006/relationships/hyperlink" Target="https://racing.hkjc.com/zh-hk/local/information/horse?horseid=HK_2025_L249" TargetMode="External"/><Relationship Id="rId7" Type="http://schemas.openxmlformats.org/officeDocument/2006/relationships/hyperlink" Target="https://racing.hkjc.com/zh-hk/local/information/horse?horseid=HK_2022_H419" TargetMode="External"/><Relationship Id="rId183" Type="http://schemas.openxmlformats.org/officeDocument/2006/relationships/hyperlink" Target="https://racing.hkjc.com/zh-hk/local/information/trainerprofile?trainerid=HDA&amp;Season=Current" TargetMode="External"/><Relationship Id="rId239" Type="http://schemas.openxmlformats.org/officeDocument/2006/relationships/hyperlink" Target="https://racing.hkjc.com/zh-hk/local/information/jockeyprofile?jockeyid=CJE&amp;Season=Current" TargetMode="External"/><Relationship Id="rId250" Type="http://schemas.openxmlformats.org/officeDocument/2006/relationships/hyperlink" Target="https://racing.hkjc.com/zh-hk/local/information/horse?horseid=HK_2022_H113" TargetMode="External"/><Relationship Id="rId292" Type="http://schemas.openxmlformats.org/officeDocument/2006/relationships/hyperlink" Target="https://racing.hkjc.com/zh-hk/local/information/horse?horseid=HK_2023_J075" TargetMode="External"/><Relationship Id="rId306" Type="http://schemas.openxmlformats.org/officeDocument/2006/relationships/hyperlink" Target="https://racing.hkjc.com/zh-hk/local/information/trainerprofile?trainerid=HDA&amp;Season=Current" TargetMode="External"/><Relationship Id="rId45" Type="http://schemas.openxmlformats.org/officeDocument/2006/relationships/hyperlink" Target="https://racing.hkjc.com/zh-hk/local/information/horse?horseid=HK_2025_L325" TargetMode="External"/><Relationship Id="rId87" Type="http://schemas.openxmlformats.org/officeDocument/2006/relationships/hyperlink" Target="https://racing.hkjc.com/zh-hk/local/information/jockeyprofile?jockeyid=HEL&amp;Season=Current" TargetMode="External"/><Relationship Id="rId110" Type="http://schemas.openxmlformats.org/officeDocument/2006/relationships/hyperlink" Target="https://racing.hkjc.com/zh-hk/local/information/horse?horseid=HK_2023_J215" TargetMode="External"/><Relationship Id="rId152" Type="http://schemas.openxmlformats.org/officeDocument/2006/relationships/hyperlink" Target="https://racing.hkjc.com/zh-hk/local/information/trainerprofile?trainerid=SJJ&amp;Season=Current" TargetMode="External"/><Relationship Id="rId194" Type="http://schemas.openxmlformats.org/officeDocument/2006/relationships/hyperlink" Target="https://racing.hkjc.com/zh-hk/local/information/jockeyprofile?jockeyid=CCY&amp;Season=Current" TargetMode="External"/><Relationship Id="rId208" Type="http://schemas.openxmlformats.org/officeDocument/2006/relationships/hyperlink" Target="https://racing.hkjc.com/zh-hk/local/information/trainerprofile?trainerid=MWK&amp;Season=Current" TargetMode="External"/><Relationship Id="rId240" Type="http://schemas.openxmlformats.org/officeDocument/2006/relationships/hyperlink" Target="https://racing.hkjc.com/zh-hk/local/information/trainerprofile?trainerid=TYS&amp;Season=Current" TargetMode="External"/><Relationship Id="rId261" Type="http://schemas.openxmlformats.org/officeDocument/2006/relationships/hyperlink" Target="https://racing.hkjc.com/zh-hk/local/information/trainerprofile?trainerid=HAD&amp;Season=Current" TargetMode="External"/><Relationship Id="rId14" Type="http://schemas.openxmlformats.org/officeDocument/2006/relationships/hyperlink" Target="https://racing.hkjc.com/zh-hk/local/information/jockeyprofile?jockeyid=FEL&amp;Season=Current" TargetMode="External"/><Relationship Id="rId35" Type="http://schemas.openxmlformats.org/officeDocument/2006/relationships/hyperlink" Target="https://racing.hkjc.com/zh-hk/local/information/jockeyprofile?jockeyid=KRW&amp;Season=Current" TargetMode="External"/><Relationship Id="rId56" Type="http://schemas.openxmlformats.org/officeDocument/2006/relationships/hyperlink" Target="https://racing.hkjc.com/zh-hk/local/information/trainerprofile?trainerid=YPF&amp;Season=Current" TargetMode="External"/><Relationship Id="rId77" Type="http://schemas.openxmlformats.org/officeDocument/2006/relationships/hyperlink" Target="https://racing.hkjc.com/zh-hk/local/information/trainerprofile?trainerid=EDJ&amp;Season=Current" TargetMode="External"/><Relationship Id="rId100" Type="http://schemas.openxmlformats.org/officeDocument/2006/relationships/hyperlink" Target="https://racing.hkjc.com/zh-hk/local/information/trainerprofile?trainerid=RW&amp;Season=Current" TargetMode="External"/><Relationship Id="rId282" Type="http://schemas.openxmlformats.org/officeDocument/2006/relationships/hyperlink" Target="https://racing.hkjc.com/zh-hk/local/information/trainerprofile?trainerid=TYS&amp;Season=Current" TargetMode="External"/><Relationship Id="rId317" Type="http://schemas.openxmlformats.org/officeDocument/2006/relationships/hyperlink" Target="https://racing.hkjc.com/zh-hk/local/information/horse?horseid=HK_2025_L175" TargetMode="External"/><Relationship Id="rId338" Type="http://schemas.openxmlformats.org/officeDocument/2006/relationships/hyperlink" Target="https://racing.hkjc.com/zh-hk/local/information/horse?horseid=HK_2025_L101" TargetMode="External"/><Relationship Id="rId8" Type="http://schemas.openxmlformats.org/officeDocument/2006/relationships/hyperlink" Target="https://racing.hkjc.com/zh-hk/local/information/jockeyprofile?jockeyid=TEK&amp;Season=Current" TargetMode="External"/><Relationship Id="rId98" Type="http://schemas.openxmlformats.org/officeDocument/2006/relationships/hyperlink" Target="https://racing.hkjc.com/zh-hk/local/information/horse?horseid=HK_2025_L044" TargetMode="External"/><Relationship Id="rId121" Type="http://schemas.openxmlformats.org/officeDocument/2006/relationships/hyperlink" Target="https://racing.hkjc.com/zh-hk/local/information/jockeyprofile?jockeyid=PZ&amp;Season=Current" TargetMode="External"/><Relationship Id="rId142" Type="http://schemas.openxmlformats.org/officeDocument/2006/relationships/hyperlink" Target="https://racing.hkjc.com/zh-hk/local/information/jockeyprofile?jockeyid=CML&amp;Season=Current" TargetMode="External"/><Relationship Id="rId163" Type="http://schemas.openxmlformats.org/officeDocument/2006/relationships/hyperlink" Target="https://racing.hkjc.com/zh-hk/local/information/horse?horseid=HK_2024_K397" TargetMode="External"/><Relationship Id="rId184" Type="http://schemas.openxmlformats.org/officeDocument/2006/relationships/hyperlink" Target="https://racing.hkjc.com/zh-hk/local/information/horse?horseid=HK_2022_H116" TargetMode="External"/><Relationship Id="rId219" Type="http://schemas.openxmlformats.org/officeDocument/2006/relationships/hyperlink" Target="https://racing.hkjc.com/zh-hk/local/information/jockeyprofile?jockeyid=BHW&amp;Season=Current" TargetMode="External"/><Relationship Id="rId230" Type="http://schemas.openxmlformats.org/officeDocument/2006/relationships/hyperlink" Target="https://racing.hkjc.com/zh-hk/local/information/horse?horseid=HK_2024_K553" TargetMode="External"/><Relationship Id="rId251" Type="http://schemas.openxmlformats.org/officeDocument/2006/relationships/hyperlink" Target="https://racing.hkjc.com/zh-hk/local/information/jockeyprofile?jockeyid=CCY&amp;Season=Current" TargetMode="External"/><Relationship Id="rId25" Type="http://schemas.openxmlformats.org/officeDocument/2006/relationships/hyperlink" Target="https://racing.hkjc.com/zh-hk/local/information/horse?horseid=HK_2023_J332" TargetMode="External"/><Relationship Id="rId46" Type="http://schemas.openxmlformats.org/officeDocument/2006/relationships/hyperlink" Target="https://racing.hkjc.com/zh-hk/local/information/jockeyprofile?jockeyid=AVB&amp;Season=Current" TargetMode="External"/><Relationship Id="rId67" Type="http://schemas.openxmlformats.org/officeDocument/2006/relationships/hyperlink" Target="https://racing.hkjc.com/zh-hk/local/information/jockeyprofile?jockeyid=AA&amp;Season=Current" TargetMode="External"/><Relationship Id="rId272" Type="http://schemas.openxmlformats.org/officeDocument/2006/relationships/hyperlink" Target="https://racing.hkjc.com/zh-hk/local/information/jockeyprofile?jockeyid=PZ&amp;Season=Current" TargetMode="External"/><Relationship Id="rId293" Type="http://schemas.openxmlformats.org/officeDocument/2006/relationships/hyperlink" Target="https://racing.hkjc.com/zh-hk/local/information/jockeyprofile?jockeyid=AA&amp;Season=Current" TargetMode="External"/><Relationship Id="rId307" Type="http://schemas.openxmlformats.org/officeDocument/2006/relationships/hyperlink" Target="https://racing.hkjc.com/zh-hk/local/information/horse?horseid=HK_2024_K529" TargetMode="External"/><Relationship Id="rId328" Type="http://schemas.openxmlformats.org/officeDocument/2006/relationships/hyperlink" Target="https://racing.hkjc.com/zh-hk/local/information/trainerprofile?trainerid=WDJ&amp;Season=Current" TargetMode="External"/><Relationship Id="rId88" Type="http://schemas.openxmlformats.org/officeDocument/2006/relationships/hyperlink" Target="https://racing.hkjc.com/zh-hk/local/information/trainerprofile?trainerid=SCS&amp;Season=Current" TargetMode="External"/><Relationship Id="rId111" Type="http://schemas.openxmlformats.org/officeDocument/2006/relationships/hyperlink" Target="https://racing.hkjc.com/zh-hk/local/information/jockeyprofile?jockeyid=BHW&amp;Season=Current" TargetMode="External"/><Relationship Id="rId132" Type="http://schemas.openxmlformats.org/officeDocument/2006/relationships/hyperlink" Target="https://racing.hkjc.com/zh-hk/local/information/horse?horseid=HK_2024_K229" TargetMode="External"/><Relationship Id="rId153" Type="http://schemas.openxmlformats.org/officeDocument/2006/relationships/hyperlink" Target="https://racing.hkjc.com/zh-hk/local/information/horse?horseid=HK_2025_L202" TargetMode="External"/><Relationship Id="rId174" Type="http://schemas.openxmlformats.org/officeDocument/2006/relationships/hyperlink" Target="https://racing.hkjc.com/zh-hk/local/information/trainerprofile?trainerid=FC&amp;Season=Current" TargetMode="External"/><Relationship Id="rId195" Type="http://schemas.openxmlformats.org/officeDocument/2006/relationships/hyperlink" Target="https://racing.hkjc.com/zh-hk/local/information/trainerprofile?trainerid=TYS&amp;Season=Current" TargetMode="External"/><Relationship Id="rId209" Type="http://schemas.openxmlformats.org/officeDocument/2006/relationships/hyperlink" Target="https://racing.hkjc.com/zh-hk/local/information/horse?horseid=HK_2024_K234" TargetMode="External"/><Relationship Id="rId220" Type="http://schemas.openxmlformats.org/officeDocument/2006/relationships/hyperlink" Target="https://racing.hkjc.com/zh-hk/local/information/trainerprofile?trainerid=LKW&amp;Season=Current" TargetMode="External"/><Relationship Id="rId241" Type="http://schemas.openxmlformats.org/officeDocument/2006/relationships/hyperlink" Target="https://racing.hkjc.com/zh-hk/local/information/horse?horseid=HK_2024_K186" TargetMode="External"/><Relationship Id="rId15" Type="http://schemas.openxmlformats.org/officeDocument/2006/relationships/hyperlink" Target="https://racing.hkjc.com/zh-hk/local/information/trainerprofile?trainerid=NM&amp;Season=Current" TargetMode="External"/><Relationship Id="rId36" Type="http://schemas.openxmlformats.org/officeDocument/2006/relationships/hyperlink" Target="https://racing.hkjc.com/zh-hk/local/information/trainerprofile?trainerid=TKH&amp;Season=Current" TargetMode="External"/><Relationship Id="rId57" Type="http://schemas.openxmlformats.org/officeDocument/2006/relationships/hyperlink" Target="https://racing.hkjc.com/zh-hk/local/information/horse?horseid=HK_2022_H110" TargetMode="External"/><Relationship Id="rId262" Type="http://schemas.openxmlformats.org/officeDocument/2006/relationships/hyperlink" Target="https://racing.hkjc.com/zh-hk/local/information/horse?horseid=HK_2020_E061" TargetMode="External"/><Relationship Id="rId283" Type="http://schemas.openxmlformats.org/officeDocument/2006/relationships/hyperlink" Target="https://racing.hkjc.com/zh-hk/local/information/horse?horseid=HK_2025_L057" TargetMode="External"/><Relationship Id="rId318" Type="http://schemas.openxmlformats.org/officeDocument/2006/relationships/hyperlink" Target="https://racing.hkjc.com/zh-hk/local/information/jockeyprofile?jockeyid=TEK&amp;Season=Current" TargetMode="External"/><Relationship Id="rId339" Type="http://schemas.openxmlformats.org/officeDocument/2006/relationships/hyperlink" Target="https://racing.hkjc.com/zh-hk/local/information/jockeyprofile?jockeyid=MHT&amp;Season=Current" TargetMode="External"/><Relationship Id="rId78" Type="http://schemas.openxmlformats.org/officeDocument/2006/relationships/hyperlink" Target="https://racing.hkjc.com/zh-hk/local/info/finishphoto?path=//consvc.hkjc.com/-/media/Sites/JCRW/FinishPhotos/26_27/20260923/20260923R03_P2.jpg" TargetMode="External"/><Relationship Id="rId99" Type="http://schemas.openxmlformats.org/officeDocument/2006/relationships/hyperlink" Target="https://racing.hkjc.com/zh-hk/local/information/jockeyprofile?jockeyid=AVB&amp;Season=Current" TargetMode="External"/><Relationship Id="rId101" Type="http://schemas.openxmlformats.org/officeDocument/2006/relationships/hyperlink" Target="https://racing.hkjc.com/zh-hk/local/information/horse?horseid=HK_2023_J131" TargetMode="External"/><Relationship Id="rId122" Type="http://schemas.openxmlformats.org/officeDocument/2006/relationships/hyperlink" Target="https://racing.hkjc.com/zh-hk/local/information/trainerprofile?trainerid=NM&amp;Season=Current" TargetMode="External"/><Relationship Id="rId143" Type="http://schemas.openxmlformats.org/officeDocument/2006/relationships/hyperlink" Target="https://racing.hkjc.com/zh-hk/local/information/trainerprofile?trainerid=SWY&amp;Season=Current" TargetMode="External"/><Relationship Id="rId164" Type="http://schemas.openxmlformats.org/officeDocument/2006/relationships/hyperlink" Target="https://racing.hkjc.com/zh-hk/local/information/jockeyprofile?jockeyid=PMF&amp;Season=Current" TargetMode="External"/><Relationship Id="rId185" Type="http://schemas.openxmlformats.org/officeDocument/2006/relationships/hyperlink" Target="https://racing.hkjc.com/zh-hk/local/information/jockeyprofile?jockeyid=KRW&amp;Season=Current" TargetMode="External"/><Relationship Id="rId9" Type="http://schemas.openxmlformats.org/officeDocument/2006/relationships/hyperlink" Target="https://racing.hkjc.com/zh-hk/local/information/trainerprofile?trainerid=MWK&amp;Season=Current" TargetMode="External"/><Relationship Id="rId210" Type="http://schemas.openxmlformats.org/officeDocument/2006/relationships/hyperlink" Target="https://racing.hkjc.com/zh-hk/local/information/jockeyprofile?jockeyid=PZ&amp;Season=Current" TargetMode="External"/><Relationship Id="rId26" Type="http://schemas.openxmlformats.org/officeDocument/2006/relationships/hyperlink" Target="https://racing.hkjc.com/zh-hk/local/information/jockeyprofile?jockeyid=YHY&amp;Season=Current" TargetMode="External"/><Relationship Id="rId231" Type="http://schemas.openxmlformats.org/officeDocument/2006/relationships/hyperlink" Target="https://racing.hkjc.com/zh-hk/local/information/jockeyprofile?jockeyid=WEC&amp;Season=Current" TargetMode="External"/><Relationship Id="rId252" Type="http://schemas.openxmlformats.org/officeDocument/2006/relationships/hyperlink" Target="https://racing.hkjc.com/zh-hk/local/information/trainerprofile?trainerid=CAS&amp;Season=Current" TargetMode="External"/><Relationship Id="rId273" Type="http://schemas.openxmlformats.org/officeDocument/2006/relationships/hyperlink" Target="https://racing.hkjc.com/zh-hk/local/information/trainerprofile?trainerid=EDJ&amp;Season=Current" TargetMode="External"/><Relationship Id="rId294" Type="http://schemas.openxmlformats.org/officeDocument/2006/relationships/hyperlink" Target="https://racing.hkjc.com/zh-hk/local/information/trainerprofile?trainerid=NPC&amp;Season=Current" TargetMode="External"/><Relationship Id="rId308" Type="http://schemas.openxmlformats.org/officeDocument/2006/relationships/hyperlink" Target="https://racing.hkjc.com/zh-hk/local/information/jockeyprofile?jockeyid=HCY&amp;Season=Current" TargetMode="External"/><Relationship Id="rId329" Type="http://schemas.openxmlformats.org/officeDocument/2006/relationships/hyperlink" Target="https://racing.hkjc.com/zh-hk/local/information/horse?horseid=HK_2025_L214" TargetMode="External"/><Relationship Id="rId47" Type="http://schemas.openxmlformats.org/officeDocument/2006/relationships/hyperlink" Target="https://racing.hkjc.com/zh-hk/local/information/trainerprofile?trainerid=SJJ&amp;Season=Current" TargetMode="External"/><Relationship Id="rId68" Type="http://schemas.openxmlformats.org/officeDocument/2006/relationships/hyperlink" Target="https://racing.hkjc.com/zh-hk/local/information/trainerprofile?trainerid=RW&amp;Season=Current" TargetMode="External"/><Relationship Id="rId89" Type="http://schemas.openxmlformats.org/officeDocument/2006/relationships/hyperlink" Target="https://racing.hkjc.com/zh-hk/local/information/horse?horseid=HK_2024_K416" TargetMode="External"/><Relationship Id="rId112" Type="http://schemas.openxmlformats.org/officeDocument/2006/relationships/hyperlink" Target="https://racing.hkjc.com/zh-hk/local/information/trainerprofile?trainerid=YCH&amp;Season=Current" TargetMode="External"/><Relationship Id="rId133" Type="http://schemas.openxmlformats.org/officeDocument/2006/relationships/hyperlink" Target="https://racing.hkjc.com/zh-hk/local/information/jockeyprofile?jockeyid=YML&amp;Season=Current" TargetMode="External"/><Relationship Id="rId154" Type="http://schemas.openxmlformats.org/officeDocument/2006/relationships/hyperlink" Target="https://racing.hkjc.com/zh-hk/local/information/jockeyprofile?jockeyid=LDE&amp;Season=Current" TargetMode="External"/><Relationship Id="rId175" Type="http://schemas.openxmlformats.org/officeDocument/2006/relationships/hyperlink" Target="https://racing.hkjc.com/zh-hk/local/information/horse?horseid=HK_2025_L134" TargetMode="External"/><Relationship Id="rId340" Type="http://schemas.openxmlformats.org/officeDocument/2006/relationships/hyperlink" Target="https://racing.hkjc.com/zh-hk/local/information/trainerprofile?trainerid=CCW&amp;Season=Current" TargetMode="External"/><Relationship Id="rId196" Type="http://schemas.openxmlformats.org/officeDocument/2006/relationships/hyperlink" Target="https://racing.hkjc.com/zh-hk/local/information/horse?horseid=HK_2024_K314" TargetMode="External"/><Relationship Id="rId200" Type="http://schemas.openxmlformats.org/officeDocument/2006/relationships/hyperlink" Target="https://racing.hkjc.com/zh-hk/local/information/horse?horseid=HK_2023_J290" TargetMode="External"/><Relationship Id="rId16" Type="http://schemas.openxmlformats.org/officeDocument/2006/relationships/hyperlink" Target="https://racing.hkjc.com/zh-hk/local/information/horse?horseid=HK_2024_K306" TargetMode="External"/><Relationship Id="rId221" Type="http://schemas.openxmlformats.org/officeDocument/2006/relationships/hyperlink" Target="https://racing.hkjc.com/zh-hk/local/information/horse?horseid=HK_2024_K011" TargetMode="External"/><Relationship Id="rId242" Type="http://schemas.openxmlformats.org/officeDocument/2006/relationships/hyperlink" Target="https://racing.hkjc.com/zh-hk/local/information/jockeyprofile?jockeyid=HEL&amp;Season=Current" TargetMode="External"/><Relationship Id="rId263" Type="http://schemas.openxmlformats.org/officeDocument/2006/relationships/hyperlink" Target="https://racing.hkjc.com/zh-hk/local/information/jockeyprofile?jockeyid=FEL&amp;Season=Current" TargetMode="External"/><Relationship Id="rId284" Type="http://schemas.openxmlformats.org/officeDocument/2006/relationships/hyperlink" Target="https://racing.hkjc.com/zh-hk/local/information/jockeyprofile?jockeyid=BHW&amp;Season=Current" TargetMode="External"/><Relationship Id="rId319" Type="http://schemas.openxmlformats.org/officeDocument/2006/relationships/hyperlink" Target="https://racing.hkjc.com/zh-hk/local/information/trainerprofile?trainerid=MKL&amp;Season=Current" TargetMode="External"/><Relationship Id="rId37" Type="http://schemas.openxmlformats.org/officeDocument/2006/relationships/hyperlink" Target="https://racing.hkjc.com/zh-hk/local/information/horse?horseid=HK_2023_J362" TargetMode="External"/><Relationship Id="rId58" Type="http://schemas.openxmlformats.org/officeDocument/2006/relationships/hyperlink" Target="https://racing.hkjc.com/zh-hk/local/information/jockeyprofile?jockeyid=YML&amp;Season=Current" TargetMode="External"/><Relationship Id="rId79" Type="http://schemas.openxmlformats.org/officeDocument/2006/relationships/hyperlink" Target="https://racing.hkjc.com/zh-hk/local/information/horse?horseid=HK_2025_L039" TargetMode="External"/><Relationship Id="rId102" Type="http://schemas.openxmlformats.org/officeDocument/2006/relationships/hyperlink" Target="https://racing.hkjc.com/zh-hk/local/information/jockeyprofile?jockeyid=AA&amp;Season=Current" TargetMode="External"/><Relationship Id="rId123" Type="http://schemas.openxmlformats.org/officeDocument/2006/relationships/hyperlink" Target="https://racing.hkjc.com/zh-hk/local/information/horse?horseid=HK_2024_K202" TargetMode="External"/><Relationship Id="rId144" Type="http://schemas.openxmlformats.org/officeDocument/2006/relationships/hyperlink" Target="https://racing.hkjc.com/zh-hk/local/information/horse?horseid=HK_2024_K407" TargetMode="External"/><Relationship Id="rId330" Type="http://schemas.openxmlformats.org/officeDocument/2006/relationships/hyperlink" Target="https://racing.hkjc.com/zh-hk/local/information/jockeyprofile?jockeyid=LDE&amp;Season=Current" TargetMode="External"/><Relationship Id="rId90" Type="http://schemas.openxmlformats.org/officeDocument/2006/relationships/hyperlink" Target="https://racing.hkjc.com/zh-hk/local/information/jockeyprofile?jockeyid=WEC&amp;Season=Current" TargetMode="External"/><Relationship Id="rId165" Type="http://schemas.openxmlformats.org/officeDocument/2006/relationships/hyperlink" Target="https://racing.hkjc.com/zh-hk/local/information/trainerprofile?trainerid=HAD&amp;Season=Current" TargetMode="External"/><Relationship Id="rId186" Type="http://schemas.openxmlformats.org/officeDocument/2006/relationships/hyperlink" Target="https://racing.hkjc.com/zh-hk/local/information/trainerprofile?trainerid=WDJ&amp;Season=Current" TargetMode="External"/><Relationship Id="rId211" Type="http://schemas.openxmlformats.org/officeDocument/2006/relationships/hyperlink" Target="https://racing.hkjc.com/zh-hk/local/information/trainerprofile?trainerid=HDA&amp;Season=Current" TargetMode="External"/><Relationship Id="rId232" Type="http://schemas.openxmlformats.org/officeDocument/2006/relationships/hyperlink" Target="https://racing.hkjc.com/zh-hk/local/information/trainerprofile?trainerid=SCS&amp;Season=Current" TargetMode="External"/><Relationship Id="rId253" Type="http://schemas.openxmlformats.org/officeDocument/2006/relationships/hyperlink" Target="https://racing.hkjc.com/zh-hk/local/information/horse?horseid=HK_2024_K340" TargetMode="External"/><Relationship Id="rId274" Type="http://schemas.openxmlformats.org/officeDocument/2006/relationships/hyperlink" Target="https://racing.hkjc.com/zh-hk/local/information/horse?horseid=HK_2024_K395" TargetMode="External"/><Relationship Id="rId295" Type="http://schemas.openxmlformats.org/officeDocument/2006/relationships/hyperlink" Target="https://racing.hkjc.com/zh-hk/local/information/horse?horseid=HK_2025_L240" TargetMode="External"/><Relationship Id="rId309" Type="http://schemas.openxmlformats.org/officeDocument/2006/relationships/hyperlink" Target="https://racing.hkjc.com/zh-hk/local/information/trainerprofile?trainerid=FC&amp;Season=Current" TargetMode="External"/><Relationship Id="rId27" Type="http://schemas.openxmlformats.org/officeDocument/2006/relationships/hyperlink" Target="https://racing.hkjc.com/zh-hk/local/information/trainerprofile?trainerid=TYS&amp;Season=Current" TargetMode="External"/><Relationship Id="rId48" Type="http://schemas.openxmlformats.org/officeDocument/2006/relationships/hyperlink" Target="https://racing.hkjc.com/zh-hk/local/information/horse?horseid=HK_2024_K016" TargetMode="External"/><Relationship Id="rId69" Type="http://schemas.openxmlformats.org/officeDocument/2006/relationships/hyperlink" Target="https://racing.hkjc.com/zh-hk/local/information/horse?horseid=HK_2025_L353" TargetMode="External"/><Relationship Id="rId113" Type="http://schemas.openxmlformats.org/officeDocument/2006/relationships/hyperlink" Target="https://racing.hkjc.com/zh-hk/local/information/horse?horseid=HK_2024_K490" TargetMode="External"/><Relationship Id="rId134" Type="http://schemas.openxmlformats.org/officeDocument/2006/relationships/hyperlink" Target="https://racing.hkjc.com/zh-hk/local/information/trainerprofile?trainerid=CCW&amp;Season=Current" TargetMode="External"/><Relationship Id="rId320" Type="http://schemas.openxmlformats.org/officeDocument/2006/relationships/hyperlink" Target="https://racing.hkjc.com/zh-hk/local/information/horse?horseid=HK_2025_L291" TargetMode="External"/><Relationship Id="rId80" Type="http://schemas.openxmlformats.org/officeDocument/2006/relationships/hyperlink" Target="https://racing.hkjc.com/zh-hk/local/information/jockeyprofile?jockeyid=PZ&amp;Season=Current" TargetMode="External"/><Relationship Id="rId155" Type="http://schemas.openxmlformats.org/officeDocument/2006/relationships/hyperlink" Target="https://racing.hkjc.com/zh-hk/local/information/trainerprofile?trainerid=RW&amp;Season=Current" TargetMode="External"/><Relationship Id="rId176" Type="http://schemas.openxmlformats.org/officeDocument/2006/relationships/hyperlink" Target="https://racing.hkjc.com/zh-hk/local/information/jockeyprofile?jockeyid=OJM&amp;Season=Current" TargetMode="External"/><Relationship Id="rId197" Type="http://schemas.openxmlformats.org/officeDocument/2006/relationships/hyperlink" Target="https://racing.hkjc.com/zh-hk/local/information/jockeyprofile?jockeyid=AA&amp;Season=Current" TargetMode="External"/><Relationship Id="rId341" Type="http://schemas.openxmlformats.org/officeDocument/2006/relationships/hyperlink" Target="https://racing.hkjc.com/zh-hk/local/information/horse?horseid=HK_2025_L290" TargetMode="External"/><Relationship Id="rId201" Type="http://schemas.openxmlformats.org/officeDocument/2006/relationships/hyperlink" Target="https://racing.hkjc.com/zh-hk/local/information/jockeyprofile?jockeyid=CJE&amp;Season=Current" TargetMode="External"/><Relationship Id="rId222" Type="http://schemas.openxmlformats.org/officeDocument/2006/relationships/hyperlink" Target="https://racing.hkjc.com/zh-hk/local/information/jockeyprofile?jockeyid=FEL&amp;Season=Current" TargetMode="External"/><Relationship Id="rId243" Type="http://schemas.openxmlformats.org/officeDocument/2006/relationships/hyperlink" Target="https://racing.hkjc.com/zh-hk/local/information/trainerprofile?trainerid=NM&amp;Season=Current" TargetMode="External"/><Relationship Id="rId264" Type="http://schemas.openxmlformats.org/officeDocument/2006/relationships/hyperlink" Target="https://racing.hkjc.com/zh-hk/local/information/trainerprofile?trainerid=HDA&amp;Season=Current" TargetMode="External"/><Relationship Id="rId285" Type="http://schemas.openxmlformats.org/officeDocument/2006/relationships/hyperlink" Target="https://racing.hkjc.com/zh-hk/local/information/trainerprofile?trainerid=MWK&amp;Season=Current" TargetMode="External"/><Relationship Id="rId17" Type="http://schemas.openxmlformats.org/officeDocument/2006/relationships/hyperlink" Target="https://racing.hkjc.com/zh-hk/local/information/jockeyprofile?jockeyid=HCY&amp;Season=Current" TargetMode="External"/><Relationship Id="rId38" Type="http://schemas.openxmlformats.org/officeDocument/2006/relationships/hyperlink" Target="https://racing.hkjc.com/zh-hk/local/information/jockeyprofile?jockeyid=PZ&amp;Season=Current" TargetMode="External"/><Relationship Id="rId59" Type="http://schemas.openxmlformats.org/officeDocument/2006/relationships/hyperlink" Target="https://racing.hkjc.com/zh-hk/local/information/trainerprofile?trainerid=WDJ&amp;Season=Current" TargetMode="External"/><Relationship Id="rId103" Type="http://schemas.openxmlformats.org/officeDocument/2006/relationships/hyperlink" Target="https://racing.hkjc.com/zh-hk/local/information/trainerprofile?trainerid=CAS&amp;Season=Current" TargetMode="External"/><Relationship Id="rId124" Type="http://schemas.openxmlformats.org/officeDocument/2006/relationships/hyperlink" Target="https://racing.hkjc.com/zh-hk/local/information/jockeyprofile?jockeyid=CJE&amp;Season=Current" TargetMode="External"/><Relationship Id="rId310" Type="http://schemas.openxmlformats.org/officeDocument/2006/relationships/hyperlink" Target="https://racing.hkjc.com/zh-hk/local/information/horse?horseid=HK_2025_L007" TargetMode="External"/><Relationship Id="rId70" Type="http://schemas.openxmlformats.org/officeDocument/2006/relationships/hyperlink" Target="https://racing.hkjc.com/zh-hk/local/information/jockeyprofile?jockeyid=KRW&amp;Season=Current" TargetMode="External"/><Relationship Id="rId91" Type="http://schemas.openxmlformats.org/officeDocument/2006/relationships/hyperlink" Target="https://racing.hkjc.com/zh-hk/local/information/trainerprofile?trainerid=FC&amp;Season=Current" TargetMode="External"/><Relationship Id="rId145" Type="http://schemas.openxmlformats.org/officeDocument/2006/relationships/hyperlink" Target="https://racing.hkjc.com/zh-hk/local/information/jockeyprofile?jockeyid=PMF&amp;Season=Current" TargetMode="External"/><Relationship Id="rId166" Type="http://schemas.openxmlformats.org/officeDocument/2006/relationships/hyperlink" Target="https://racing.hkjc.com/zh-hk/local/information/horse?horseid=HK_2023_J398" TargetMode="External"/><Relationship Id="rId187" Type="http://schemas.openxmlformats.org/officeDocument/2006/relationships/hyperlink" Target="https://racing.hkjc.com/zh-hk/local/information/horse?horseid=HK_2025_L065" TargetMode="External"/><Relationship Id="rId331" Type="http://schemas.openxmlformats.org/officeDocument/2006/relationships/hyperlink" Target="https://racing.hkjc.com/zh-hk/local/information/trainerprofile?trainerid=SWY&amp;Season=Current" TargetMode="External"/><Relationship Id="rId1" Type="http://schemas.openxmlformats.org/officeDocument/2006/relationships/hyperlink" Target="https://racing.hkjc.com/zh-hk/local/information/horse?horseid=HK_2024_K580" TargetMode="External"/><Relationship Id="rId212" Type="http://schemas.openxmlformats.org/officeDocument/2006/relationships/hyperlink" Target="https://racing.hkjc.com/zh-hk/local/information/horse?horseid=HK_2020_E301" TargetMode="External"/><Relationship Id="rId233" Type="http://schemas.openxmlformats.org/officeDocument/2006/relationships/hyperlink" Target="https://racing.hkjc.com/zh-hk/local/info/finishphoto?path=//consvc.hkjc.com/-/media/Sites/JCRW/FinishPhotos/26_27/20260923/20260923R08_P3.jpg" TargetMode="External"/><Relationship Id="rId254" Type="http://schemas.openxmlformats.org/officeDocument/2006/relationships/hyperlink" Target="https://racing.hkjc.com/zh-hk/local/information/jockeyprofile?jockeyid=LDE&amp;Season=Current" TargetMode="External"/><Relationship Id="rId28" Type="http://schemas.openxmlformats.org/officeDocument/2006/relationships/hyperlink" Target="https://racing.hkjc.com/zh-hk/local/information/horse?horseid=HK_2023_J395" TargetMode="External"/><Relationship Id="rId49" Type="http://schemas.openxmlformats.org/officeDocument/2006/relationships/hyperlink" Target="https://racing.hkjc.com/zh-hk/local/information/jockeyprofile?jockeyid=CCY&amp;Season=Current" TargetMode="External"/><Relationship Id="rId114" Type="http://schemas.openxmlformats.org/officeDocument/2006/relationships/hyperlink" Target="https://racing.hkjc.com/zh-hk/local/information/jockeyprofile?jockeyid=YML&amp;Season=Current" TargetMode="External"/><Relationship Id="rId275" Type="http://schemas.openxmlformats.org/officeDocument/2006/relationships/hyperlink" Target="https://racing.hkjc.com/zh-hk/local/information/jockeyprofile?jockeyid=YML&amp;Season=Current" TargetMode="External"/><Relationship Id="rId296" Type="http://schemas.openxmlformats.org/officeDocument/2006/relationships/hyperlink" Target="https://racing.hkjc.com/zh-hk/local/information/jockeyprofile?jockeyid=WEC&amp;Season=Current" TargetMode="External"/><Relationship Id="rId300" Type="http://schemas.openxmlformats.org/officeDocument/2006/relationships/hyperlink" Target="https://racing.hkjc.com/zh-hk/local/information/trainerprofile?trainerid=SCS&amp;Season=Current" TargetMode="External"/><Relationship Id="rId60" Type="http://schemas.openxmlformats.org/officeDocument/2006/relationships/hyperlink" Target="https://racing.hkjc.com/zh-hk/local/information/horse?horseid=HK_2024_K315" TargetMode="External"/><Relationship Id="rId81" Type="http://schemas.openxmlformats.org/officeDocument/2006/relationships/hyperlink" Target="https://racing.hkjc.com/zh-hk/local/information/trainerprofile?trainerid=MWK&amp;Season=Current" TargetMode="External"/><Relationship Id="rId135" Type="http://schemas.openxmlformats.org/officeDocument/2006/relationships/hyperlink" Target="https://racing.hkjc.com/zh-hk/local/information/horse?horseid=HK_2022_H173" TargetMode="External"/><Relationship Id="rId156" Type="http://schemas.openxmlformats.org/officeDocument/2006/relationships/hyperlink" Target="https://racing.hkjc.com/zh-hk/local/information/horse?horseid=HK_2024_K253" TargetMode="External"/><Relationship Id="rId177" Type="http://schemas.openxmlformats.org/officeDocument/2006/relationships/hyperlink" Target="https://racing.hkjc.com/zh-hk/local/information/trainerprofile?trainerid=YPF&amp;Season=Current" TargetMode="External"/><Relationship Id="rId198" Type="http://schemas.openxmlformats.org/officeDocument/2006/relationships/hyperlink" Target="https://racing.hkjc.com/zh-hk/local/information/trainerprofile?trainerid=SJJ&amp;Season=Current" TargetMode="External"/><Relationship Id="rId321" Type="http://schemas.openxmlformats.org/officeDocument/2006/relationships/hyperlink" Target="https://racing.hkjc.com/zh-hk/local/information/jockeyprofile?jockeyid=PMF&amp;Season=Current" TargetMode="External"/><Relationship Id="rId342" Type="http://schemas.openxmlformats.org/officeDocument/2006/relationships/hyperlink" Target="https://racing.hkjc.com/zh-hk/local/information/jockeyprofile?jockeyid=BHW&amp;Season=Current" TargetMode="External"/><Relationship Id="rId202" Type="http://schemas.openxmlformats.org/officeDocument/2006/relationships/hyperlink" Target="https://racing.hkjc.com/zh-hk/local/information/trainerprofile?trainerid=CAS&amp;Season=Current" TargetMode="External"/><Relationship Id="rId223" Type="http://schemas.openxmlformats.org/officeDocument/2006/relationships/hyperlink" Target="https://racing.hkjc.com/zh-hk/local/information/trainerprofile?trainerid=EDJ&amp;Season=Current" TargetMode="External"/><Relationship Id="rId244" Type="http://schemas.openxmlformats.org/officeDocument/2006/relationships/hyperlink" Target="https://racing.hkjc.com/zh-hk/local/information/horse?horseid=HK_2023_J237" TargetMode="External"/><Relationship Id="rId18" Type="http://schemas.openxmlformats.org/officeDocument/2006/relationships/hyperlink" Target="https://racing.hkjc.com/zh-hk/local/information/trainerprofile?trainerid=FC&amp;Season=Current" TargetMode="External"/><Relationship Id="rId39" Type="http://schemas.openxmlformats.org/officeDocument/2006/relationships/hyperlink" Target="https://racing.hkjc.com/zh-hk/local/information/trainerprofile?trainerid=HAD&amp;Season=Current" TargetMode="External"/><Relationship Id="rId265" Type="http://schemas.openxmlformats.org/officeDocument/2006/relationships/hyperlink" Target="https://racing.hkjc.com/zh-hk/local/information/horse?horseid=HK_2023_J446" TargetMode="External"/><Relationship Id="rId286" Type="http://schemas.openxmlformats.org/officeDocument/2006/relationships/hyperlink" Target="https://racing.hkjc.com/zh-hk/local/information/horse?horseid=HK_2024_K161" TargetMode="External"/><Relationship Id="rId50" Type="http://schemas.openxmlformats.org/officeDocument/2006/relationships/hyperlink" Target="https://racing.hkjc.com/zh-hk/local/information/trainerprofile?trainerid=CAS&amp;Season=Current" TargetMode="External"/><Relationship Id="rId104" Type="http://schemas.openxmlformats.org/officeDocument/2006/relationships/hyperlink" Target="https://racing.hkjc.com/zh-hk/local/information/horse?horseid=HK_2024_K145" TargetMode="External"/><Relationship Id="rId125" Type="http://schemas.openxmlformats.org/officeDocument/2006/relationships/hyperlink" Target="https://racing.hkjc.com/zh-hk/local/information/trainerprofile?trainerid=MWK&amp;Season=Current" TargetMode="External"/><Relationship Id="rId146" Type="http://schemas.openxmlformats.org/officeDocument/2006/relationships/hyperlink" Target="https://racing.hkjc.com/zh-hk/local/information/trainerprofile?trainerid=TKH&amp;Season=Current" TargetMode="External"/><Relationship Id="rId167" Type="http://schemas.openxmlformats.org/officeDocument/2006/relationships/hyperlink" Target="https://racing.hkjc.com/zh-hk/local/information/jockeyprofile?jockeyid=WEC&amp;Season=Current" TargetMode="External"/><Relationship Id="rId188" Type="http://schemas.openxmlformats.org/officeDocument/2006/relationships/hyperlink" Target="https://racing.hkjc.com/zh-hk/local/information/jockeyprofile?jockeyid=TEK&amp;Season=Current" TargetMode="External"/><Relationship Id="rId311" Type="http://schemas.openxmlformats.org/officeDocument/2006/relationships/hyperlink" Target="https://racing.hkjc.com/zh-hk/local/information/jockeyprofile?jockeyid=AA&amp;Season=Current" TargetMode="External"/><Relationship Id="rId332" Type="http://schemas.openxmlformats.org/officeDocument/2006/relationships/hyperlink" Target="https://racing.hkjc.com/zh-hk/local/information/horse?horseid=HK_2022_H208" TargetMode="External"/><Relationship Id="rId71" Type="http://schemas.openxmlformats.org/officeDocument/2006/relationships/hyperlink" Target="https://racing.hkjc.com/zh-hk/local/information/trainerprofile?trainerid=HDA&amp;Season=Current" TargetMode="External"/><Relationship Id="rId92" Type="http://schemas.openxmlformats.org/officeDocument/2006/relationships/hyperlink" Target="https://racing.hkjc.com/zh-hk/local/information/horse?horseid=HK_2024_K444" TargetMode="External"/><Relationship Id="rId213" Type="http://schemas.openxmlformats.org/officeDocument/2006/relationships/hyperlink" Target="https://racing.hkjc.com/zh-hk/local/information/jockeyprofile?jockeyid=LDE&amp;Season=Current" TargetMode="External"/><Relationship Id="rId234" Type="http://schemas.openxmlformats.org/officeDocument/2006/relationships/hyperlink" Target="https://racing.hkjc.com/zh-hk/local/information/horse?horseid=HK_2023_J396" TargetMode="External"/><Relationship Id="rId2" Type="http://schemas.openxmlformats.org/officeDocument/2006/relationships/hyperlink" Target="https://racing.hkjc.com/zh-hk/local/information/jockeyprofile?jockeyid=CJE&amp;Season=Current" TargetMode="External"/><Relationship Id="rId29" Type="http://schemas.openxmlformats.org/officeDocument/2006/relationships/hyperlink" Target="https://racing.hkjc.com/zh-hk/local/information/jockeyprofile?jockeyid=LDE&amp;Season=Current" TargetMode="External"/><Relationship Id="rId255" Type="http://schemas.openxmlformats.org/officeDocument/2006/relationships/hyperlink" Target="https://racing.hkjc.com/zh-hk/local/information/trainerprofile?trainerid=CCW&amp;Season=Current" TargetMode="External"/><Relationship Id="rId276" Type="http://schemas.openxmlformats.org/officeDocument/2006/relationships/hyperlink" Target="https://racing.hkjc.com/zh-hk/local/information/trainerprofile?trainerid=HDA&amp;Season=Current" TargetMode="External"/><Relationship Id="rId297" Type="http://schemas.openxmlformats.org/officeDocument/2006/relationships/hyperlink" Target="https://racing.hkjc.com/zh-hk/local/information/trainerprofile?trainerid=SCS&amp;Season=Current" TargetMode="External"/><Relationship Id="rId40" Type="http://schemas.openxmlformats.org/officeDocument/2006/relationships/hyperlink" Target="https://racing.hkjc.com/zh-hk/local/info/finishphoto?path=//consvc.hkjc.com/-/media/Sites/JCRW/FinishPhotos/26_27/20260923/20260923R02_P2.jpg" TargetMode="External"/><Relationship Id="rId115" Type="http://schemas.openxmlformats.org/officeDocument/2006/relationships/hyperlink" Target="https://racing.hkjc.com/zh-hk/local/information/trainerprofile?trainerid=WDJ&amp;Season=Current" TargetMode="External"/><Relationship Id="rId136" Type="http://schemas.openxmlformats.org/officeDocument/2006/relationships/hyperlink" Target="https://racing.hkjc.com/zh-hk/local/information/jockeyprofile?jockeyid=TEK&amp;Season=Current" TargetMode="External"/><Relationship Id="rId157" Type="http://schemas.openxmlformats.org/officeDocument/2006/relationships/hyperlink" Target="https://racing.hkjc.com/zh-hk/local/information/jockeyprofile?jockeyid=CML&amp;Season=Current" TargetMode="External"/><Relationship Id="rId178" Type="http://schemas.openxmlformats.org/officeDocument/2006/relationships/hyperlink" Target="https://racing.hkjc.com/zh-hk/local/information/horse?horseid=HK_2025_L046" TargetMode="External"/><Relationship Id="rId301" Type="http://schemas.openxmlformats.org/officeDocument/2006/relationships/hyperlink" Target="https://racing.hkjc.com/zh-hk/local/information/horse?horseid=HK_2024_K580" TargetMode="External"/><Relationship Id="rId322" Type="http://schemas.openxmlformats.org/officeDocument/2006/relationships/hyperlink" Target="https://racing.hkjc.com/zh-hk/local/information/trainerprofile?trainerid=SCS&amp;Season=Current" TargetMode="External"/><Relationship Id="rId343" Type="http://schemas.openxmlformats.org/officeDocument/2006/relationships/hyperlink" Target="https://racing.hkjc.com/zh-hk/local/information/trainerprofile?trainerid=HDA&amp;Season=Current" TargetMode="External"/><Relationship Id="rId61" Type="http://schemas.openxmlformats.org/officeDocument/2006/relationships/hyperlink" Target="https://racing.hkjc.com/zh-hk/local/information/jockeyprofile?jockeyid=TEK&amp;Season=Current" TargetMode="External"/><Relationship Id="rId82" Type="http://schemas.openxmlformats.org/officeDocument/2006/relationships/hyperlink" Target="https://racing.hkjc.com/zh-hk/local/information/horse?horseid=HK_2021_G125" TargetMode="External"/><Relationship Id="rId199" Type="http://schemas.openxmlformats.org/officeDocument/2006/relationships/hyperlink" Target="https://racing.hkjc.com/zh-hk/local/info/finishphoto?path=//consvc.hkjc.com/-/media/Sites/JCRW/FinishPhotos/26_27/20260923/20260923R07_P4.jpg" TargetMode="External"/><Relationship Id="rId203" Type="http://schemas.openxmlformats.org/officeDocument/2006/relationships/hyperlink" Target="https://racing.hkjc.com/zh-hk/local/information/horse?horseid=HK_2024_K352" TargetMode="External"/><Relationship Id="rId19" Type="http://schemas.openxmlformats.org/officeDocument/2006/relationships/hyperlink" Target="https://racing.hkjc.com/zh-hk/local/information/horse?horseid=HK_2023_J331" TargetMode="External"/><Relationship Id="rId224" Type="http://schemas.openxmlformats.org/officeDocument/2006/relationships/hyperlink" Target="https://racing.hkjc.com/zh-hk/local/information/horse?horseid=HK_2024_K367" TargetMode="External"/><Relationship Id="rId245" Type="http://schemas.openxmlformats.org/officeDocument/2006/relationships/hyperlink" Target="https://racing.hkjc.com/zh-hk/local/information/jockeyprofile?jockeyid=AVB&amp;Season=Current" TargetMode="External"/><Relationship Id="rId266" Type="http://schemas.openxmlformats.org/officeDocument/2006/relationships/hyperlink" Target="https://racing.hkjc.com/zh-hk/local/information/jockeyprofile?jockeyid=HCY&amp;Season=Current" TargetMode="External"/><Relationship Id="rId287" Type="http://schemas.openxmlformats.org/officeDocument/2006/relationships/hyperlink" Target="https://racing.hkjc.com/zh-hk/local/information/jockeyprofile?jockeyid=FEL&amp;Season=Current" TargetMode="External"/><Relationship Id="rId30" Type="http://schemas.openxmlformats.org/officeDocument/2006/relationships/hyperlink" Target="https://racing.hkjc.com/zh-hk/local/information/trainerprofile?trainerid=WDJ&amp;Season=Current" TargetMode="External"/><Relationship Id="rId105" Type="http://schemas.openxmlformats.org/officeDocument/2006/relationships/hyperlink" Target="https://racing.hkjc.com/zh-hk/local/information/jockeyprofile?jockeyid=HCY&amp;Season=Current" TargetMode="External"/><Relationship Id="rId126" Type="http://schemas.openxmlformats.org/officeDocument/2006/relationships/hyperlink" Target="https://racing.hkjc.com/zh-hk/local/information/horse?horseid=HK_2025_L277" TargetMode="External"/><Relationship Id="rId147" Type="http://schemas.openxmlformats.org/officeDocument/2006/relationships/hyperlink" Target="https://racing.hkjc.com/zh-hk/local/information/horse?horseid=HK_2025_L083" TargetMode="External"/><Relationship Id="rId168" Type="http://schemas.openxmlformats.org/officeDocument/2006/relationships/hyperlink" Target="https://racing.hkjc.com/zh-hk/local/information/trainerprofile?trainerid=NPC&amp;Season=Current" TargetMode="External"/><Relationship Id="rId312" Type="http://schemas.openxmlformats.org/officeDocument/2006/relationships/hyperlink" Target="https://racing.hkjc.com/zh-hk/local/information/trainerprofile?trainerid=CAS&amp;Season=Current" TargetMode="External"/><Relationship Id="rId333" Type="http://schemas.openxmlformats.org/officeDocument/2006/relationships/hyperlink" Target="https://racing.hkjc.com/zh-hk/local/information/jockeyprofile?jockeyid=CML&amp;Season=Current" TargetMode="External"/><Relationship Id="rId51" Type="http://schemas.openxmlformats.org/officeDocument/2006/relationships/hyperlink" Target="https://racing.hkjc.com/zh-hk/local/information/horse?horseid=HK_2024_K189" TargetMode="External"/><Relationship Id="rId72" Type="http://schemas.openxmlformats.org/officeDocument/2006/relationships/hyperlink" Target="https://racing.hkjc.com/zh-hk/local/information/horse?horseid=HK_2023_J043" TargetMode="External"/><Relationship Id="rId93" Type="http://schemas.openxmlformats.org/officeDocument/2006/relationships/hyperlink" Target="https://racing.hkjc.com/zh-hk/local/information/jockeyprofile?jockeyid=OJM&amp;Season=Current" TargetMode="External"/><Relationship Id="rId189" Type="http://schemas.openxmlformats.org/officeDocument/2006/relationships/hyperlink" Target="https://racing.hkjc.com/zh-hk/local/information/trainerprofile?trainerid=CAS&amp;Season=Current" TargetMode="External"/><Relationship Id="rId3" Type="http://schemas.openxmlformats.org/officeDocument/2006/relationships/hyperlink" Target="https://racing.hkjc.com/zh-hk/local/information/trainerprofile?trainerid=EDJ&amp;Season=Current" TargetMode="External"/><Relationship Id="rId214" Type="http://schemas.openxmlformats.org/officeDocument/2006/relationships/hyperlink" Target="https://racing.hkjc.com/zh-hk/local/information/trainerprofile?trainerid=NM&amp;Season=Current" TargetMode="External"/><Relationship Id="rId235" Type="http://schemas.openxmlformats.org/officeDocument/2006/relationships/hyperlink" Target="https://racing.hkjc.com/zh-hk/local/information/jockeyprofile?jockeyid=TEK&amp;Season=Current" TargetMode="External"/><Relationship Id="rId256" Type="http://schemas.openxmlformats.org/officeDocument/2006/relationships/hyperlink" Target="https://racing.hkjc.com/zh-hk/local/information/horse?horseid=HK_2024_K125" TargetMode="External"/><Relationship Id="rId277" Type="http://schemas.openxmlformats.org/officeDocument/2006/relationships/hyperlink" Target="https://racing.hkjc.com/zh-hk/local/information/horse?horseid=HK_2025_L184" TargetMode="External"/><Relationship Id="rId298" Type="http://schemas.openxmlformats.org/officeDocument/2006/relationships/hyperlink" Target="https://racing.hkjc.com/zh-hk/local/information/horse?horseid=HK_2025_L151" TargetMode="External"/><Relationship Id="rId116" Type="http://schemas.openxmlformats.org/officeDocument/2006/relationships/hyperlink" Target="https://racing.hkjc.com/zh-hk/local/info/finishphoto?path=//consvc.hkjc.com/-/media/Sites/JCRW/FinishPhotos/26_27/20260923/20260923R04_P1.jpg" TargetMode="External"/><Relationship Id="rId137" Type="http://schemas.openxmlformats.org/officeDocument/2006/relationships/hyperlink" Target="https://racing.hkjc.com/zh-hk/local/information/trainerprofile?trainerid=EDJ&amp;Season=Current" TargetMode="External"/><Relationship Id="rId158" Type="http://schemas.openxmlformats.org/officeDocument/2006/relationships/hyperlink" Target="https://racing.hkjc.com/zh-hk/local/information/trainerprofile?trainerid=LKW&amp;Season=Current" TargetMode="External"/><Relationship Id="rId302" Type="http://schemas.openxmlformats.org/officeDocument/2006/relationships/hyperlink" Target="https://racing.hkjc.com/zh-hk/local/information/jockeyprofile?jockeyid=CJE&amp;Season=Current" TargetMode="External"/><Relationship Id="rId323" Type="http://schemas.openxmlformats.org/officeDocument/2006/relationships/hyperlink" Target="https://racing.hkjc.com/zh-hk/local/information/horse?horseid=HK_2024_K468" TargetMode="External"/><Relationship Id="rId344" Type="http://schemas.openxmlformats.org/officeDocument/2006/relationships/drawing" Target="../drawings/drawing1.xml"/><Relationship Id="rId20" Type="http://schemas.openxmlformats.org/officeDocument/2006/relationships/hyperlink" Target="https://racing.hkjc.com/zh-hk/local/information/jockeyprofile?jockeyid=AA&amp;Season=Current" TargetMode="External"/><Relationship Id="rId41" Type="http://schemas.openxmlformats.org/officeDocument/2006/relationships/hyperlink" Target="https://racing.hkjc.com/zh-hk/local/information/horse?horseid=HK_2024_K271" TargetMode="External"/><Relationship Id="rId62" Type="http://schemas.openxmlformats.org/officeDocument/2006/relationships/hyperlink" Target="https://racing.hkjc.com/zh-hk/local/information/trainerprofile?trainerid=LFC&amp;Season=Current" TargetMode="External"/><Relationship Id="rId83" Type="http://schemas.openxmlformats.org/officeDocument/2006/relationships/hyperlink" Target="https://racing.hkjc.com/zh-hk/local/information/jockeyprofile?jockeyid=TEK&amp;Season=Current" TargetMode="External"/><Relationship Id="rId179" Type="http://schemas.openxmlformats.org/officeDocument/2006/relationships/hyperlink" Target="https://racing.hkjc.com/zh-hk/local/information/jockeyprofile?jockeyid=YML&amp;Season=Current" TargetMode="External"/><Relationship Id="rId190" Type="http://schemas.openxmlformats.org/officeDocument/2006/relationships/hyperlink" Target="https://racing.hkjc.com/zh-hk/local/information/horse?horseid=HK_2023_J300" TargetMode="External"/><Relationship Id="rId204" Type="http://schemas.openxmlformats.org/officeDocument/2006/relationships/hyperlink" Target="https://racing.hkjc.com/zh-hk/local/information/jockeyprofile?jockeyid=AVB&amp;Season=Current" TargetMode="External"/><Relationship Id="rId225" Type="http://schemas.openxmlformats.org/officeDocument/2006/relationships/hyperlink" Target="https://racing.hkjc.com/zh-hk/local/information/jockeyprofile?jockeyid=WEC&amp;Season=Current" TargetMode="External"/><Relationship Id="rId246" Type="http://schemas.openxmlformats.org/officeDocument/2006/relationships/hyperlink" Target="https://racing.hkjc.com/zh-hk/local/information/trainerprofile?trainerid=RW&amp;Season=Current" TargetMode="External"/><Relationship Id="rId267" Type="http://schemas.openxmlformats.org/officeDocument/2006/relationships/hyperlink" Target="https://racing.hkjc.com/zh-hk/local/information/trainerprofile?trainerid=MWK&amp;Season=Current" TargetMode="External"/><Relationship Id="rId288" Type="http://schemas.openxmlformats.org/officeDocument/2006/relationships/hyperlink" Target="https://racing.hkjc.com/zh-hk/local/information/trainerprofile?trainerid=FC&amp;Season=Current" TargetMode="External"/><Relationship Id="rId106" Type="http://schemas.openxmlformats.org/officeDocument/2006/relationships/hyperlink" Target="https://racing.hkjc.com/zh-hk/local/information/trainerprofile?trainerid=LKW&amp;Season=Current" TargetMode="External"/><Relationship Id="rId127" Type="http://schemas.openxmlformats.org/officeDocument/2006/relationships/hyperlink" Target="https://racing.hkjc.com/zh-hk/local/information/jockeyprofile?jockeyid=OJM&amp;Season=Current" TargetMode="External"/><Relationship Id="rId313" Type="http://schemas.openxmlformats.org/officeDocument/2006/relationships/hyperlink" Target="https://racing.hkjc.com/zh-hk/local/information/horse?horseid=HK_2024_K479" TargetMode="External"/><Relationship Id="rId10" Type="http://schemas.openxmlformats.org/officeDocument/2006/relationships/hyperlink" Target="https://racing.hkjc.com/zh-hk/local/information/horse?horseid=HK_2022_H293" TargetMode="External"/><Relationship Id="rId31" Type="http://schemas.openxmlformats.org/officeDocument/2006/relationships/hyperlink" Target="https://racing.hkjc.com/zh-hk/local/information/horse?horseid=HK_2021_G277" TargetMode="External"/><Relationship Id="rId52" Type="http://schemas.openxmlformats.org/officeDocument/2006/relationships/hyperlink" Target="https://racing.hkjc.com/zh-hk/local/information/jockeyprofile?jockeyid=BHW&amp;Season=Current" TargetMode="External"/><Relationship Id="rId73" Type="http://schemas.openxmlformats.org/officeDocument/2006/relationships/hyperlink" Target="https://racing.hkjc.com/zh-hk/local/information/jockeyprofile?jockeyid=WEC&amp;Season=Current" TargetMode="External"/><Relationship Id="rId94" Type="http://schemas.openxmlformats.org/officeDocument/2006/relationships/hyperlink" Target="https://racing.hkjc.com/zh-hk/local/information/trainerprofile?trainerid=HDA&amp;Season=Current" TargetMode="External"/><Relationship Id="rId148" Type="http://schemas.openxmlformats.org/officeDocument/2006/relationships/hyperlink" Target="https://racing.hkjc.com/zh-hk/local/information/jockeyprofile?jockeyid=YHY&amp;Season=Current" TargetMode="External"/><Relationship Id="rId169" Type="http://schemas.openxmlformats.org/officeDocument/2006/relationships/hyperlink" Target="https://racing.hkjc.com/zh-hk/local/information/horse?horseid=HK_2024_K319" TargetMode="External"/><Relationship Id="rId334" Type="http://schemas.openxmlformats.org/officeDocument/2006/relationships/hyperlink" Target="https://racing.hkjc.com/zh-hk/local/information/trainerprofile?trainerid=RW&amp;Season=Current" TargetMode="External"/><Relationship Id="rId4" Type="http://schemas.openxmlformats.org/officeDocument/2006/relationships/hyperlink" Target="https://racing.hkjc.com/zh-hk/local/information/horse?horseid=HK_2024_K028" TargetMode="External"/><Relationship Id="rId180" Type="http://schemas.openxmlformats.org/officeDocument/2006/relationships/hyperlink" Target="https://racing.hkjc.com/zh-hk/local/information/trainerprofile?trainerid=CCW&amp;Season=Current" TargetMode="External"/><Relationship Id="rId215" Type="http://schemas.openxmlformats.org/officeDocument/2006/relationships/hyperlink" Target="https://racing.hkjc.com/zh-hk/local/information/horse?horseid=HK_2025_L384" TargetMode="External"/><Relationship Id="rId236" Type="http://schemas.openxmlformats.org/officeDocument/2006/relationships/hyperlink" Target="https://racing.hkjc.com/zh-hk/local/information/trainerprofile?trainerid=YCH&amp;Season=Current" TargetMode="External"/><Relationship Id="rId257" Type="http://schemas.openxmlformats.org/officeDocument/2006/relationships/hyperlink" Target="https://racing.hkjc.com/zh-hk/local/information/jockeyprofile?jockeyid=HCY&amp;Season=Current" TargetMode="External"/><Relationship Id="rId278" Type="http://schemas.openxmlformats.org/officeDocument/2006/relationships/hyperlink" Target="https://racing.hkjc.com/zh-hk/local/information/jockeyprofile?jockeyid=CML&amp;Season=Current" TargetMode="External"/><Relationship Id="rId303" Type="http://schemas.openxmlformats.org/officeDocument/2006/relationships/hyperlink" Target="https://racing.hkjc.com/zh-hk/local/information/trainerprofile?trainerid=EDJ&amp;Season=Current" TargetMode="External"/><Relationship Id="rId42" Type="http://schemas.openxmlformats.org/officeDocument/2006/relationships/hyperlink" Target="https://racing.hkjc.com/zh-hk/local/information/jockeyprofile?jockeyid=HEL&amp;Season=Current" TargetMode="External"/><Relationship Id="rId84" Type="http://schemas.openxmlformats.org/officeDocument/2006/relationships/hyperlink" Target="https://racing.hkjc.com/zh-hk/local/information/trainerprofile?trainerid=YPF&amp;Season=Current" TargetMode="External"/><Relationship Id="rId138" Type="http://schemas.openxmlformats.org/officeDocument/2006/relationships/hyperlink" Target="https://racing.hkjc.com/zh-hk/local/information/horse?horseid=HK_2025_L051" TargetMode="External"/><Relationship Id="rId191" Type="http://schemas.openxmlformats.org/officeDocument/2006/relationships/hyperlink" Target="https://racing.hkjc.com/zh-hk/local/information/jockeyprofile?jockeyid=YHY&amp;Season=Current" TargetMode="External"/><Relationship Id="rId205" Type="http://schemas.openxmlformats.org/officeDocument/2006/relationships/hyperlink" Target="https://racing.hkjc.com/zh-hk/local/information/trainerprofile?trainerid=LFC&amp;Season=Current" TargetMode="External"/><Relationship Id="rId247" Type="http://schemas.openxmlformats.org/officeDocument/2006/relationships/hyperlink" Target="https://racing.hkjc.com/zh-hk/local/information/horse?horseid=HK_2023_J487" TargetMode="External"/><Relationship Id="rId107" Type="http://schemas.openxmlformats.org/officeDocument/2006/relationships/hyperlink" Target="https://racing.hkjc.com/zh-hk/local/information/horse?horseid=HK_2025_L079" TargetMode="External"/><Relationship Id="rId289" Type="http://schemas.openxmlformats.org/officeDocument/2006/relationships/hyperlink" Target="https://racing.hkjc.com/zh-hk/local/information/horse?horseid=HK_2021_G306" TargetMode="External"/><Relationship Id="rId11" Type="http://schemas.openxmlformats.org/officeDocument/2006/relationships/hyperlink" Target="https://racing.hkjc.com/zh-hk/local/information/jockeyprofile?jockeyid=HEL&amp;Season=Current" TargetMode="External"/><Relationship Id="rId53" Type="http://schemas.openxmlformats.org/officeDocument/2006/relationships/hyperlink" Target="https://racing.hkjc.com/zh-hk/local/information/trainerprofile?trainerid=EDJ&amp;Season=Current" TargetMode="External"/><Relationship Id="rId149" Type="http://schemas.openxmlformats.org/officeDocument/2006/relationships/hyperlink" Target="https://racing.hkjc.com/zh-hk/local/information/trainerprofile?trainerid=NPC&amp;Season=Current" TargetMode="External"/><Relationship Id="rId314" Type="http://schemas.openxmlformats.org/officeDocument/2006/relationships/hyperlink" Target="https://racing.hkjc.com/zh-hk/local/information/jockeyprofile?jockeyid=CJE&amp;Season=Current" TargetMode="External"/><Relationship Id="rId95" Type="http://schemas.openxmlformats.org/officeDocument/2006/relationships/hyperlink" Target="https://racing.hkjc.com/zh-hk/local/information/horse?horseid=HK_2023_J494" TargetMode="External"/><Relationship Id="rId160" Type="http://schemas.openxmlformats.org/officeDocument/2006/relationships/hyperlink" Target="https://racing.hkjc.com/zh-hk/local/information/horse?horseid=HK_2023_J137" TargetMode="External"/><Relationship Id="rId216" Type="http://schemas.openxmlformats.org/officeDocument/2006/relationships/hyperlink" Target="https://racing.hkjc.com/zh-hk/local/information/jockeyprofile?jockeyid=PMF&amp;Season=Current" TargetMode="External"/><Relationship Id="rId258" Type="http://schemas.openxmlformats.org/officeDocument/2006/relationships/hyperlink" Target="https://racing.hkjc.com/zh-hk/local/information/trainerprofile?trainerid=FC&amp;Season=Current" TargetMode="External"/><Relationship Id="rId22" Type="http://schemas.openxmlformats.org/officeDocument/2006/relationships/hyperlink" Target="https://racing.hkjc.com/zh-hk/local/information/horse?horseid=HK_2023_J501" TargetMode="External"/><Relationship Id="rId64" Type="http://schemas.openxmlformats.org/officeDocument/2006/relationships/hyperlink" Target="https://racing.hkjc.com/zh-hk/local/information/jockeyprofile?jockeyid=CML&amp;Season=Current" TargetMode="External"/><Relationship Id="rId118" Type="http://schemas.openxmlformats.org/officeDocument/2006/relationships/hyperlink" Target="https://racing.hkjc.com/zh-hk/local/information/jockeyprofile?jockeyid=AVB&amp;Season=Current" TargetMode="External"/><Relationship Id="rId325" Type="http://schemas.openxmlformats.org/officeDocument/2006/relationships/hyperlink" Target="https://racing.hkjc.com/zh-hk/local/information/trainerprofile?trainerid=NPC&amp;Season=Current" TargetMode="External"/><Relationship Id="rId171" Type="http://schemas.openxmlformats.org/officeDocument/2006/relationships/hyperlink" Target="https://racing.hkjc.com/zh-hk/local/information/trainerprofile?trainerid=EDJ&amp;Season=Current" TargetMode="External"/><Relationship Id="rId227" Type="http://schemas.openxmlformats.org/officeDocument/2006/relationships/hyperlink" Target="https://racing.hkjc.com/zh-hk/local/information/horse?horseid=HK_2025_L096" TargetMode="External"/><Relationship Id="rId269" Type="http://schemas.openxmlformats.org/officeDocument/2006/relationships/hyperlink" Target="https://racing.hkjc.com/zh-hk/local/information/jockeyprofile?jockeyid=CJE&amp;Season=Current" TargetMode="External"/><Relationship Id="rId33" Type="http://schemas.openxmlformats.org/officeDocument/2006/relationships/hyperlink" Target="https://racing.hkjc.com/zh-hk/local/information/trainerprofile?trainerid=RW&amp;Season=Current" TargetMode="External"/><Relationship Id="rId129" Type="http://schemas.openxmlformats.org/officeDocument/2006/relationships/hyperlink" Target="https://racing.hkjc.com/zh-hk/local/information/horse?horseid=HK_2025_L115" TargetMode="External"/><Relationship Id="rId280" Type="http://schemas.openxmlformats.org/officeDocument/2006/relationships/hyperlink" Target="https://racing.hkjc.com/zh-hk/local/information/horse?horseid=HK_2024_K004" TargetMode="External"/><Relationship Id="rId336" Type="http://schemas.openxmlformats.org/officeDocument/2006/relationships/hyperlink" Target="https://racing.hkjc.com/zh-hk/local/information/jockeyprofile?jockeyid=YHY&amp;Season=Current" TargetMode="External"/><Relationship Id="rId75" Type="http://schemas.openxmlformats.org/officeDocument/2006/relationships/hyperlink" Target="https://racing.hkjc.com/zh-hk/local/information/horse?horseid=HK_2025_L031" TargetMode="External"/><Relationship Id="rId140" Type="http://schemas.openxmlformats.org/officeDocument/2006/relationships/hyperlink" Target="https://racing.hkjc.com/zh-hk/local/information/trainerprofile?trainerid=LKW&amp;Season=Current" TargetMode="External"/><Relationship Id="rId182" Type="http://schemas.openxmlformats.org/officeDocument/2006/relationships/hyperlink" Target="https://racing.hkjc.com/zh-hk/local/information/jockeyprofile?jockeyid=BHW&amp;Season=Current" TargetMode="External"/><Relationship Id="rId6" Type="http://schemas.openxmlformats.org/officeDocument/2006/relationships/hyperlink" Target="https://racing.hkjc.com/zh-hk/local/information/trainerprofile?trainerid=HDA&amp;Season=Current" TargetMode="External"/><Relationship Id="rId238" Type="http://schemas.openxmlformats.org/officeDocument/2006/relationships/hyperlink" Target="https://racing.hkjc.com/zh-hk/local/information/horse?horseid=HK_2025_L075" TargetMode="External"/><Relationship Id="rId291" Type="http://schemas.openxmlformats.org/officeDocument/2006/relationships/hyperlink" Target="https://racing.hkjc.com/zh-hk/local/information/trainerprofile?trainerid=LFC&amp;Season=Current" TargetMode="External"/><Relationship Id="rId305" Type="http://schemas.openxmlformats.org/officeDocument/2006/relationships/hyperlink" Target="https://racing.hkjc.com/zh-hk/local/information/jockeyprofile?jockeyid=PZ&amp;Season=Current" TargetMode="External"/><Relationship Id="rId44" Type="http://schemas.openxmlformats.org/officeDocument/2006/relationships/hyperlink" Target="https://racing.hkjc.com/zh-hk/local/info/finishphoto?path=//consvc.hkjc.com/-/media/Sites/JCRW/FinishPhotos/26_27/20260923/20260923R02_P3.jpg" TargetMode="External"/><Relationship Id="rId86" Type="http://schemas.openxmlformats.org/officeDocument/2006/relationships/hyperlink" Target="https://racing.hkjc.com/zh-hk/local/information/horse?horseid=HK_2025_L267" TargetMode="External"/><Relationship Id="rId151" Type="http://schemas.openxmlformats.org/officeDocument/2006/relationships/hyperlink" Target="https://racing.hkjc.com/zh-hk/local/information/jockeyprofile?jockeyid=AA&amp;Season=Current" TargetMode="External"/><Relationship Id="rId193" Type="http://schemas.openxmlformats.org/officeDocument/2006/relationships/hyperlink" Target="https://racing.hkjc.com/zh-hk/local/information/horse?horseid=HK_2025_L168" TargetMode="External"/><Relationship Id="rId207" Type="http://schemas.openxmlformats.org/officeDocument/2006/relationships/hyperlink" Target="https://racing.hkjc.com/zh-hk/local/information/jockeyprofile?jockeyid=CML&amp;Season=Current" TargetMode="External"/><Relationship Id="rId249" Type="http://schemas.openxmlformats.org/officeDocument/2006/relationships/hyperlink" Target="https://racing.hkjc.com/zh-hk/local/information/trainerprofile?trainerid=MWK&amp;Season=Current" TargetMode="External"/><Relationship Id="rId13" Type="http://schemas.openxmlformats.org/officeDocument/2006/relationships/hyperlink" Target="https://racing.hkjc.com/zh-hk/local/information/horse?horseid=HK_2023_J162" TargetMode="External"/><Relationship Id="rId109" Type="http://schemas.openxmlformats.org/officeDocument/2006/relationships/hyperlink" Target="https://racing.hkjc.com/zh-hk/local/information/trainerprofile?trainerid=LFC&amp;Season=Current" TargetMode="External"/><Relationship Id="rId260" Type="http://schemas.openxmlformats.org/officeDocument/2006/relationships/hyperlink" Target="https://racing.hkjc.com/zh-hk/local/information/jockeyprofile?jockeyid=OJM&amp;Season=Current" TargetMode="External"/><Relationship Id="rId316" Type="http://schemas.openxmlformats.org/officeDocument/2006/relationships/hyperlink" Target="https://racing.hkjc.com/zh-hk/local/info/finishphoto?path=//consvc.hkjc.com/-/media/Sites/JCRW/FinishPhotos/26_27/20260923/20260923R06_P4.jpg" TargetMode="External"/><Relationship Id="rId55" Type="http://schemas.openxmlformats.org/officeDocument/2006/relationships/hyperlink" Target="https://racing.hkjc.com/zh-hk/local/information/jockeyprofile?jockeyid=PMF&amp;Season=Current" TargetMode="External"/><Relationship Id="rId97" Type="http://schemas.openxmlformats.org/officeDocument/2006/relationships/hyperlink" Target="https://racing.hkjc.com/zh-hk/local/information/trainerprofile?trainerid=NM&amp;Season=Current" TargetMode="External"/><Relationship Id="rId120" Type="http://schemas.openxmlformats.org/officeDocument/2006/relationships/hyperlink" Target="https://racing.hkjc.com/zh-hk/local/information/horse?horseid=HK_2025_L050" TargetMode="External"/><Relationship Id="rId162" Type="http://schemas.openxmlformats.org/officeDocument/2006/relationships/hyperlink" Target="https://racing.hkjc.com/zh-hk/local/information/trainerprofile?trainerid=LFC&amp;Season=Current" TargetMode="External"/><Relationship Id="rId218" Type="http://schemas.openxmlformats.org/officeDocument/2006/relationships/hyperlink" Target="https://racing.hkjc.com/zh-hk/local/information/horse?horseid=HK_2023_J158" TargetMode="External"/><Relationship Id="rId271" Type="http://schemas.openxmlformats.org/officeDocument/2006/relationships/hyperlink" Target="https://racing.hkjc.com/zh-hk/local/information/horse?horseid=HK_2025_L108" TargetMode="External"/><Relationship Id="rId24" Type="http://schemas.openxmlformats.org/officeDocument/2006/relationships/hyperlink" Target="https://racing.hkjc.com/zh-hk/local/information/trainerprofile?trainerid=SWY&amp;Season=Current" TargetMode="External"/><Relationship Id="rId66" Type="http://schemas.openxmlformats.org/officeDocument/2006/relationships/hyperlink" Target="https://racing.hkjc.com/zh-hk/local/information/horse?horseid=HK_2025_L133" TargetMode="External"/><Relationship Id="rId131" Type="http://schemas.openxmlformats.org/officeDocument/2006/relationships/hyperlink" Target="https://racing.hkjc.com/zh-hk/local/information/trainerprofile?trainerid=SCS&amp;Season=Current" TargetMode="External"/><Relationship Id="rId327" Type="http://schemas.openxmlformats.org/officeDocument/2006/relationships/hyperlink" Target="https://racing.hkjc.com/zh-hk/local/information/jockeyprofile?jockeyid=WPN&amp;Season=Current" TargetMode="External"/><Relationship Id="rId173" Type="http://schemas.openxmlformats.org/officeDocument/2006/relationships/hyperlink" Target="https://racing.hkjc.com/zh-hk/local/information/jockeyprofile?jockeyid=FEL&amp;Season=Current" TargetMode="External"/><Relationship Id="rId229" Type="http://schemas.openxmlformats.org/officeDocument/2006/relationships/hyperlink" Target="https://racing.hkjc.com/zh-hk/local/information/trainerprofile?trainerid=MKL&amp;Season=Curr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716B1-A9CD-4B4F-81DA-B09EAB12AB48}">
  <sheetPr codeName="工作表1"/>
  <dimension ref="A1:Y408"/>
  <sheetViews>
    <sheetView topLeftCell="A372" workbookViewId="0">
      <selection activeCell="N371" sqref="N371:Y404"/>
    </sheetView>
  </sheetViews>
  <sheetFormatPr defaultRowHeight="16.5" x14ac:dyDescent="0.25"/>
  <sheetData>
    <row r="1" spans="1:25" ht="17.25" thickTop="1" x14ac:dyDescent="0.25">
      <c r="A1" s="38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1" t="s">
        <v>5</v>
      </c>
      <c r="G1" s="1" t="s">
        <v>6</v>
      </c>
      <c r="H1" s="40" t="s">
        <v>7</v>
      </c>
      <c r="I1" s="1" t="s">
        <v>8</v>
      </c>
      <c r="J1" s="1" t="s">
        <v>9</v>
      </c>
      <c r="K1" s="1" t="s">
        <v>10</v>
      </c>
      <c r="L1" s="2" t="s">
        <v>11</v>
      </c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167</v>
      </c>
      <c r="T1" t="s">
        <v>168</v>
      </c>
      <c r="U1" t="s">
        <v>7</v>
      </c>
      <c r="V1" t="s">
        <v>169</v>
      </c>
      <c r="W1" t="s">
        <v>170</v>
      </c>
      <c r="X1" t="s">
        <v>171</v>
      </c>
      <c r="Y1" t="s">
        <v>172</v>
      </c>
    </row>
    <row r="2" spans="1:25" ht="17.25" thickBot="1" x14ac:dyDescent="0.3">
      <c r="A2" s="39"/>
      <c r="B2" s="41"/>
      <c r="C2" s="41"/>
      <c r="D2" s="41"/>
      <c r="E2" s="41"/>
      <c r="F2" s="3" t="s">
        <v>12</v>
      </c>
      <c r="G2" s="3" t="s">
        <v>13</v>
      </c>
      <c r="H2" s="41"/>
      <c r="I2" s="3" t="s">
        <v>14</v>
      </c>
      <c r="J2" s="3" t="s">
        <v>15</v>
      </c>
      <c r="K2" s="3" t="s">
        <v>16</v>
      </c>
      <c r="L2" s="4" t="s">
        <v>17</v>
      </c>
      <c r="N2">
        <f>A3</f>
        <v>1</v>
      </c>
      <c r="O2">
        <f t="shared" ref="O2:Y2" si="0">B3</f>
        <v>4</v>
      </c>
      <c r="P2" t="str">
        <f t="shared" si="0"/>
        <v>紅磚戰士 (K580)</v>
      </c>
      <c r="Q2" t="str">
        <f t="shared" si="0"/>
        <v>周俊樂</v>
      </c>
      <c r="R2" t="str">
        <f t="shared" si="0"/>
        <v>游達榮</v>
      </c>
      <c r="S2">
        <f t="shared" si="0"/>
        <v>129</v>
      </c>
      <c r="T2">
        <f t="shared" si="0"/>
        <v>1110</v>
      </c>
      <c r="U2">
        <f t="shared" si="0"/>
        <v>1</v>
      </c>
      <c r="V2" t="str">
        <f t="shared" si="0"/>
        <v>---</v>
      </c>
      <c r="W2" t="str">
        <f>J3&amp;","&amp;J4&amp;","&amp;J5&amp;","&amp;J6</f>
        <v>1,1,1,1</v>
      </c>
      <c r="X2" t="str">
        <f>TEXT(K3, "mm:ss.0")</f>
        <v>01:39.2</v>
      </c>
      <c r="Y2">
        <f t="shared" si="0"/>
        <v>4.5</v>
      </c>
    </row>
    <row r="3" spans="1:25" x14ac:dyDescent="0.25">
      <c r="A3" s="72">
        <v>1</v>
      </c>
      <c r="B3" s="54">
        <v>4</v>
      </c>
      <c r="C3" s="75" t="s">
        <v>18</v>
      </c>
      <c r="D3" s="78" t="s">
        <v>19</v>
      </c>
      <c r="E3" s="78" t="s">
        <v>20</v>
      </c>
      <c r="F3" s="54">
        <v>129</v>
      </c>
      <c r="G3" s="54">
        <v>1110</v>
      </c>
      <c r="H3" s="54">
        <v>1</v>
      </c>
      <c r="I3" s="54" t="s">
        <v>21</v>
      </c>
      <c r="J3" s="5">
        <v>1</v>
      </c>
      <c r="K3" s="57">
        <v>1.148263888888889E-3</v>
      </c>
      <c r="L3" s="60">
        <v>4.5</v>
      </c>
    </row>
    <row r="4" spans="1:25" x14ac:dyDescent="0.25">
      <c r="A4" s="73"/>
      <c r="B4" s="55"/>
      <c r="C4" s="76"/>
      <c r="D4" s="79"/>
      <c r="E4" s="79"/>
      <c r="F4" s="55"/>
      <c r="G4" s="55"/>
      <c r="H4" s="55"/>
      <c r="I4" s="55"/>
      <c r="J4" s="6">
        <v>1</v>
      </c>
      <c r="K4" s="58"/>
      <c r="L4" s="61"/>
    </row>
    <row r="5" spans="1:25" x14ac:dyDescent="0.25">
      <c r="A5" s="73"/>
      <c r="B5" s="55"/>
      <c r="C5" s="76"/>
      <c r="D5" s="79"/>
      <c r="E5" s="79"/>
      <c r="F5" s="55"/>
      <c r="G5" s="55"/>
      <c r="H5" s="55"/>
      <c r="I5" s="55"/>
      <c r="J5" s="6">
        <v>1</v>
      </c>
      <c r="K5" s="58"/>
      <c r="L5" s="61"/>
    </row>
    <row r="6" spans="1:25" ht="17.25" thickBot="1" x14ac:dyDescent="0.3">
      <c r="A6" s="74"/>
      <c r="B6" s="56"/>
      <c r="C6" s="77"/>
      <c r="D6" s="80"/>
      <c r="E6" s="80"/>
      <c r="F6" s="56"/>
      <c r="G6" s="56"/>
      <c r="H6" s="56"/>
      <c r="I6" s="56"/>
      <c r="J6" s="7">
        <v>1</v>
      </c>
      <c r="K6" s="59"/>
      <c r="L6" s="62"/>
      <c r="N6">
        <f t="shared" ref="N6:N46" si="1">A7</f>
        <v>2</v>
      </c>
      <c r="O6">
        <f t="shared" ref="O6:O46" si="2">B7</f>
        <v>11</v>
      </c>
      <c r="P6" t="str">
        <f t="shared" ref="P6:P46" si="3">C7</f>
        <v>東方魅影 (K028)</v>
      </c>
      <c r="Q6" t="str">
        <f t="shared" ref="Q6:Q46" si="4">D7</f>
        <v>潘頓</v>
      </c>
      <c r="R6" t="str">
        <f t="shared" ref="R6:R46" si="5">E7</f>
        <v>大衛希斯</v>
      </c>
      <c r="S6">
        <f t="shared" ref="S6:S46" si="6">F7</f>
        <v>120</v>
      </c>
      <c r="T6">
        <f t="shared" ref="T6:T46" si="7">G7</f>
        <v>1064</v>
      </c>
      <c r="U6">
        <f t="shared" ref="U6:U46" si="8">H7</f>
        <v>3</v>
      </c>
      <c r="V6" t="str">
        <f t="shared" ref="V6:V46" si="9">I7</f>
        <v>頸位</v>
      </c>
      <c r="W6" t="str">
        <f t="shared" ref="W6:W46" si="10">J7&amp;","&amp;J8&amp;","&amp;J9&amp;","&amp;J10</f>
        <v>6,6,6,2</v>
      </c>
      <c r="X6" t="str">
        <f t="shared" ref="X6:X46" si="11">TEXT(K7, "mm:ss.0")</f>
        <v>01:39.3</v>
      </c>
      <c r="Y6">
        <f t="shared" ref="Y6:Y46" si="12">L7</f>
        <v>3.8</v>
      </c>
    </row>
    <row r="7" spans="1:25" x14ac:dyDescent="0.25">
      <c r="A7" s="63">
        <v>2</v>
      </c>
      <c r="B7" s="42">
        <v>11</v>
      </c>
      <c r="C7" s="66" t="s">
        <v>22</v>
      </c>
      <c r="D7" s="69" t="s">
        <v>23</v>
      </c>
      <c r="E7" s="69" t="s">
        <v>24</v>
      </c>
      <c r="F7" s="42">
        <v>120</v>
      </c>
      <c r="G7" s="42">
        <v>1064</v>
      </c>
      <c r="H7" s="42">
        <v>3</v>
      </c>
      <c r="I7" s="42" t="s">
        <v>25</v>
      </c>
      <c r="J7" s="8">
        <v>6</v>
      </c>
      <c r="K7" s="48">
        <v>1.1489583333333334E-3</v>
      </c>
      <c r="L7" s="51">
        <v>3.8</v>
      </c>
    </row>
    <row r="8" spans="1:25" x14ac:dyDescent="0.25">
      <c r="A8" s="64"/>
      <c r="B8" s="43"/>
      <c r="C8" s="67"/>
      <c r="D8" s="70"/>
      <c r="E8" s="70"/>
      <c r="F8" s="43"/>
      <c r="G8" s="43"/>
      <c r="H8" s="43"/>
      <c r="I8" s="43"/>
      <c r="J8" s="9">
        <v>6</v>
      </c>
      <c r="K8" s="49"/>
      <c r="L8" s="52"/>
    </row>
    <row r="9" spans="1:25" x14ac:dyDescent="0.25">
      <c r="A9" s="64"/>
      <c r="B9" s="43"/>
      <c r="C9" s="67"/>
      <c r="D9" s="70"/>
      <c r="E9" s="70"/>
      <c r="F9" s="43"/>
      <c r="G9" s="43"/>
      <c r="H9" s="43"/>
      <c r="I9" s="43"/>
      <c r="J9" s="9">
        <v>6</v>
      </c>
      <c r="K9" s="49"/>
      <c r="L9" s="52"/>
    </row>
    <row r="10" spans="1:25" ht="17.25" thickBot="1" x14ac:dyDescent="0.3">
      <c r="A10" s="88"/>
      <c r="B10" s="81"/>
      <c r="C10" s="89"/>
      <c r="D10" s="90"/>
      <c r="E10" s="90"/>
      <c r="F10" s="81"/>
      <c r="G10" s="81"/>
      <c r="H10" s="81"/>
      <c r="I10" s="81"/>
      <c r="J10" s="10">
        <v>2</v>
      </c>
      <c r="K10" s="83"/>
      <c r="L10" s="84"/>
      <c r="N10">
        <f t="shared" si="1"/>
        <v>3</v>
      </c>
      <c r="O10">
        <f t="shared" si="2"/>
        <v>10</v>
      </c>
      <c r="P10" t="str">
        <f t="shared" si="3"/>
        <v>威威父子 (H419)</v>
      </c>
      <c r="Q10" t="str">
        <f t="shared" si="4"/>
        <v>田泰安</v>
      </c>
      <c r="R10" t="str">
        <f t="shared" si="5"/>
        <v>巫偉傑</v>
      </c>
      <c r="S10">
        <f t="shared" si="6"/>
        <v>120</v>
      </c>
      <c r="T10">
        <f t="shared" si="7"/>
        <v>1012</v>
      </c>
      <c r="U10">
        <f t="shared" si="8"/>
        <v>7</v>
      </c>
      <c r="V10">
        <f t="shared" si="9"/>
        <v>37987</v>
      </c>
      <c r="W10" t="str">
        <f t="shared" si="10"/>
        <v>9,9,9,3</v>
      </c>
      <c r="X10" t="str">
        <f t="shared" si="11"/>
        <v>01:39.4</v>
      </c>
      <c r="Y10">
        <f t="shared" si="12"/>
        <v>13</v>
      </c>
    </row>
    <row r="11" spans="1:25" x14ac:dyDescent="0.25">
      <c r="A11" s="72">
        <v>3</v>
      </c>
      <c r="B11" s="54">
        <v>10</v>
      </c>
      <c r="C11" s="75" t="s">
        <v>26</v>
      </c>
      <c r="D11" s="78" t="s">
        <v>27</v>
      </c>
      <c r="E11" s="78" t="s">
        <v>28</v>
      </c>
      <c r="F11" s="54">
        <v>120</v>
      </c>
      <c r="G11" s="54">
        <v>1012</v>
      </c>
      <c r="H11" s="54">
        <v>7</v>
      </c>
      <c r="I11" s="85">
        <v>37987</v>
      </c>
      <c r="J11" s="5">
        <v>9</v>
      </c>
      <c r="K11" s="57">
        <v>1.1504629629629629E-3</v>
      </c>
      <c r="L11" s="60">
        <v>13</v>
      </c>
    </row>
    <row r="12" spans="1:25" x14ac:dyDescent="0.25">
      <c r="A12" s="73"/>
      <c r="B12" s="55"/>
      <c r="C12" s="76"/>
      <c r="D12" s="79"/>
      <c r="E12" s="79"/>
      <c r="F12" s="55"/>
      <c r="G12" s="55"/>
      <c r="H12" s="55"/>
      <c r="I12" s="86"/>
      <c r="J12" s="6">
        <v>9</v>
      </c>
      <c r="K12" s="58"/>
      <c r="L12" s="61"/>
    </row>
    <row r="13" spans="1:25" x14ac:dyDescent="0.25">
      <c r="A13" s="73"/>
      <c r="B13" s="55"/>
      <c r="C13" s="76"/>
      <c r="D13" s="79"/>
      <c r="E13" s="79"/>
      <c r="F13" s="55"/>
      <c r="G13" s="55"/>
      <c r="H13" s="55"/>
      <c r="I13" s="86"/>
      <c r="J13" s="6">
        <v>9</v>
      </c>
      <c r="K13" s="58"/>
      <c r="L13" s="61"/>
    </row>
    <row r="14" spans="1:25" ht="17.25" thickBot="1" x14ac:dyDescent="0.3">
      <c r="A14" s="74"/>
      <c r="B14" s="56"/>
      <c r="C14" s="77"/>
      <c r="D14" s="80"/>
      <c r="E14" s="80"/>
      <c r="F14" s="56"/>
      <c r="G14" s="56"/>
      <c r="H14" s="56"/>
      <c r="I14" s="87"/>
      <c r="J14" s="7">
        <v>3</v>
      </c>
      <c r="K14" s="59"/>
      <c r="L14" s="62"/>
      <c r="N14">
        <f t="shared" si="1"/>
        <v>4</v>
      </c>
      <c r="O14">
        <f t="shared" si="2"/>
        <v>6</v>
      </c>
      <c r="P14" t="str">
        <f t="shared" si="3"/>
        <v>開心三多 (H293)</v>
      </c>
      <c r="Q14" t="str">
        <f t="shared" si="4"/>
        <v>希威森</v>
      </c>
      <c r="R14" t="str">
        <f t="shared" si="5"/>
        <v>桂福特</v>
      </c>
      <c r="S14">
        <f t="shared" si="6"/>
        <v>128</v>
      </c>
      <c r="T14">
        <f t="shared" si="7"/>
        <v>1029</v>
      </c>
      <c r="U14">
        <f t="shared" si="8"/>
        <v>11</v>
      </c>
      <c r="V14">
        <f t="shared" si="9"/>
        <v>37258</v>
      </c>
      <c r="W14" t="str">
        <f t="shared" si="10"/>
        <v>12,12,11,4</v>
      </c>
      <c r="X14" t="str">
        <f t="shared" si="11"/>
        <v>01:39.6</v>
      </c>
      <c r="Y14">
        <f t="shared" si="12"/>
        <v>11</v>
      </c>
    </row>
    <row r="15" spans="1:25" x14ac:dyDescent="0.25">
      <c r="A15" s="63">
        <v>4</v>
      </c>
      <c r="B15" s="42">
        <v>6</v>
      </c>
      <c r="C15" s="66" t="s">
        <v>29</v>
      </c>
      <c r="D15" s="69" t="s">
        <v>30</v>
      </c>
      <c r="E15" s="69" t="s">
        <v>31</v>
      </c>
      <c r="F15" s="42">
        <v>128</v>
      </c>
      <c r="G15" s="42">
        <v>1029</v>
      </c>
      <c r="H15" s="42">
        <v>11</v>
      </c>
      <c r="I15" s="45">
        <v>37258</v>
      </c>
      <c r="J15" s="8">
        <v>12</v>
      </c>
      <c r="K15" s="48">
        <v>1.1530092592592592E-3</v>
      </c>
      <c r="L15" s="51">
        <v>11</v>
      </c>
    </row>
    <row r="16" spans="1:25" x14ac:dyDescent="0.25">
      <c r="A16" s="64"/>
      <c r="B16" s="43"/>
      <c r="C16" s="67"/>
      <c r="D16" s="70"/>
      <c r="E16" s="70"/>
      <c r="F16" s="43"/>
      <c r="G16" s="43"/>
      <c r="H16" s="43"/>
      <c r="I16" s="46"/>
      <c r="J16" s="9">
        <v>12</v>
      </c>
      <c r="K16" s="49"/>
      <c r="L16" s="52"/>
    </row>
    <row r="17" spans="1:25" x14ac:dyDescent="0.25">
      <c r="A17" s="64"/>
      <c r="B17" s="43"/>
      <c r="C17" s="67"/>
      <c r="D17" s="70"/>
      <c r="E17" s="70"/>
      <c r="F17" s="43"/>
      <c r="G17" s="43"/>
      <c r="H17" s="43"/>
      <c r="I17" s="46"/>
      <c r="J17" s="9">
        <v>11</v>
      </c>
      <c r="K17" s="49"/>
      <c r="L17" s="52"/>
    </row>
    <row r="18" spans="1:25" ht="17.25" thickBot="1" x14ac:dyDescent="0.3">
      <c r="A18" s="88"/>
      <c r="B18" s="81"/>
      <c r="C18" s="89"/>
      <c r="D18" s="90"/>
      <c r="E18" s="90"/>
      <c r="F18" s="81"/>
      <c r="G18" s="81"/>
      <c r="H18" s="81"/>
      <c r="I18" s="82"/>
      <c r="J18" s="10">
        <v>4</v>
      </c>
      <c r="K18" s="83"/>
      <c r="L18" s="84"/>
      <c r="N18">
        <f t="shared" si="1"/>
        <v>5</v>
      </c>
      <c r="O18">
        <f t="shared" si="2"/>
        <v>3</v>
      </c>
      <c r="P18" t="str">
        <f t="shared" si="3"/>
        <v>神駒馬靈 (J162)</v>
      </c>
      <c r="Q18" t="str">
        <f t="shared" si="4"/>
        <v>霍宏聲</v>
      </c>
      <c r="R18" t="str">
        <f t="shared" si="5"/>
        <v>廖康銘</v>
      </c>
      <c r="S18">
        <f t="shared" si="6"/>
        <v>132</v>
      </c>
      <c r="T18">
        <f t="shared" si="7"/>
        <v>1121</v>
      </c>
      <c r="U18">
        <f t="shared" si="8"/>
        <v>4</v>
      </c>
      <c r="V18">
        <f t="shared" si="9"/>
        <v>37989</v>
      </c>
      <c r="W18" t="str">
        <f t="shared" si="10"/>
        <v>5,4,3,5</v>
      </c>
      <c r="X18" t="str">
        <f t="shared" si="11"/>
        <v>01:39.7</v>
      </c>
      <c r="Y18">
        <f t="shared" si="12"/>
        <v>4.8</v>
      </c>
    </row>
    <row r="19" spans="1:25" x14ac:dyDescent="0.25">
      <c r="A19" s="72">
        <v>5</v>
      </c>
      <c r="B19" s="54">
        <v>3</v>
      </c>
      <c r="C19" s="75" t="s">
        <v>32</v>
      </c>
      <c r="D19" s="78" t="s">
        <v>33</v>
      </c>
      <c r="E19" s="78" t="s">
        <v>34</v>
      </c>
      <c r="F19" s="54">
        <v>132</v>
      </c>
      <c r="G19" s="54">
        <v>1121</v>
      </c>
      <c r="H19" s="54">
        <v>4</v>
      </c>
      <c r="I19" s="85">
        <v>37989</v>
      </c>
      <c r="J19" s="5">
        <v>5</v>
      </c>
      <c r="K19" s="57">
        <v>1.1541666666666666E-3</v>
      </c>
      <c r="L19" s="60">
        <v>4.8</v>
      </c>
    </row>
    <row r="20" spans="1:25" x14ac:dyDescent="0.25">
      <c r="A20" s="73"/>
      <c r="B20" s="55"/>
      <c r="C20" s="76"/>
      <c r="D20" s="79"/>
      <c r="E20" s="79"/>
      <c r="F20" s="55"/>
      <c r="G20" s="55"/>
      <c r="H20" s="55"/>
      <c r="I20" s="86"/>
      <c r="J20" s="6">
        <v>4</v>
      </c>
      <c r="K20" s="58"/>
      <c r="L20" s="61"/>
    </row>
    <row r="21" spans="1:25" x14ac:dyDescent="0.25">
      <c r="A21" s="73"/>
      <c r="B21" s="55"/>
      <c r="C21" s="76"/>
      <c r="D21" s="79"/>
      <c r="E21" s="79"/>
      <c r="F21" s="55"/>
      <c r="G21" s="55"/>
      <c r="H21" s="55"/>
      <c r="I21" s="86"/>
      <c r="J21" s="6">
        <v>3</v>
      </c>
      <c r="K21" s="58"/>
      <c r="L21" s="61"/>
    </row>
    <row r="22" spans="1:25" ht="17.25" thickBot="1" x14ac:dyDescent="0.3">
      <c r="A22" s="74"/>
      <c r="B22" s="56"/>
      <c r="C22" s="77"/>
      <c r="D22" s="80"/>
      <c r="E22" s="80"/>
      <c r="F22" s="56"/>
      <c r="G22" s="56"/>
      <c r="H22" s="56"/>
      <c r="I22" s="87"/>
      <c r="J22" s="7">
        <v>5</v>
      </c>
      <c r="K22" s="59"/>
      <c r="L22" s="62"/>
      <c r="N22">
        <f t="shared" si="1"/>
        <v>6</v>
      </c>
      <c r="O22">
        <f t="shared" si="2"/>
        <v>1</v>
      </c>
      <c r="P22" t="str">
        <f t="shared" si="3"/>
        <v>堅多福 (K306)</v>
      </c>
      <c r="Q22" t="str">
        <f t="shared" si="4"/>
        <v>何澤堯</v>
      </c>
      <c r="R22" t="str">
        <f t="shared" si="5"/>
        <v>方嘉柏</v>
      </c>
      <c r="S22">
        <f t="shared" si="6"/>
        <v>135</v>
      </c>
      <c r="T22">
        <f t="shared" si="7"/>
        <v>1225</v>
      </c>
      <c r="U22">
        <f t="shared" si="8"/>
        <v>12</v>
      </c>
      <c r="V22">
        <f t="shared" si="9"/>
        <v>37261</v>
      </c>
      <c r="W22" t="str">
        <f t="shared" si="10"/>
        <v>4,2,2,6</v>
      </c>
      <c r="X22" t="str">
        <f t="shared" si="11"/>
        <v>01:40.1</v>
      </c>
      <c r="Y22">
        <f t="shared" si="12"/>
        <v>18</v>
      </c>
    </row>
    <row r="23" spans="1:25" x14ac:dyDescent="0.25">
      <c r="A23" s="63">
        <v>6</v>
      </c>
      <c r="B23" s="42">
        <v>1</v>
      </c>
      <c r="C23" s="66" t="s">
        <v>35</v>
      </c>
      <c r="D23" s="69" t="s">
        <v>36</v>
      </c>
      <c r="E23" s="69" t="s">
        <v>37</v>
      </c>
      <c r="F23" s="42">
        <v>135</v>
      </c>
      <c r="G23" s="42">
        <v>1225</v>
      </c>
      <c r="H23" s="42">
        <v>12</v>
      </c>
      <c r="I23" s="45">
        <v>37261</v>
      </c>
      <c r="J23" s="8">
        <v>4</v>
      </c>
      <c r="K23" s="48">
        <v>1.1582175925925924E-3</v>
      </c>
      <c r="L23" s="51">
        <v>18</v>
      </c>
    </row>
    <row r="24" spans="1:25" x14ac:dyDescent="0.25">
      <c r="A24" s="64"/>
      <c r="B24" s="43"/>
      <c r="C24" s="67"/>
      <c r="D24" s="70"/>
      <c r="E24" s="70"/>
      <c r="F24" s="43"/>
      <c r="G24" s="43"/>
      <c r="H24" s="43"/>
      <c r="I24" s="46"/>
      <c r="J24" s="9">
        <v>2</v>
      </c>
      <c r="K24" s="49"/>
      <c r="L24" s="52"/>
    </row>
    <row r="25" spans="1:25" x14ac:dyDescent="0.25">
      <c r="A25" s="64"/>
      <c r="B25" s="43"/>
      <c r="C25" s="67"/>
      <c r="D25" s="70"/>
      <c r="E25" s="70"/>
      <c r="F25" s="43"/>
      <c r="G25" s="43"/>
      <c r="H25" s="43"/>
      <c r="I25" s="46"/>
      <c r="J25" s="9">
        <v>2</v>
      </c>
      <c r="K25" s="49"/>
      <c r="L25" s="52"/>
    </row>
    <row r="26" spans="1:25" ht="17.25" thickBot="1" x14ac:dyDescent="0.3">
      <c r="A26" s="88"/>
      <c r="B26" s="81"/>
      <c r="C26" s="89"/>
      <c r="D26" s="90"/>
      <c r="E26" s="90"/>
      <c r="F26" s="81"/>
      <c r="G26" s="81"/>
      <c r="H26" s="81"/>
      <c r="I26" s="82"/>
      <c r="J26" s="10">
        <v>6</v>
      </c>
      <c r="K26" s="83"/>
      <c r="L26" s="84"/>
      <c r="N26">
        <f t="shared" si="1"/>
        <v>7</v>
      </c>
      <c r="O26">
        <f t="shared" si="2"/>
        <v>12</v>
      </c>
      <c r="P26" t="str">
        <f t="shared" si="3"/>
        <v>幸運同行 (J331)</v>
      </c>
      <c r="Q26" t="str">
        <f t="shared" si="4"/>
        <v>艾兆禮</v>
      </c>
      <c r="R26" t="str">
        <f t="shared" si="5"/>
        <v>蔡約翰</v>
      </c>
      <c r="S26">
        <f t="shared" si="6"/>
        <v>118</v>
      </c>
      <c r="T26">
        <f t="shared" si="7"/>
        <v>1012</v>
      </c>
      <c r="U26">
        <f t="shared" si="8"/>
        <v>9</v>
      </c>
      <c r="V26">
        <f t="shared" si="9"/>
        <v>37261</v>
      </c>
      <c r="W26" t="str">
        <f t="shared" si="10"/>
        <v>11,11,12,7</v>
      </c>
      <c r="X26" t="str">
        <f t="shared" si="11"/>
        <v>01:40.1</v>
      </c>
      <c r="Y26">
        <f t="shared" si="12"/>
        <v>52</v>
      </c>
    </row>
    <row r="27" spans="1:25" x14ac:dyDescent="0.25">
      <c r="A27" s="72">
        <v>7</v>
      </c>
      <c r="B27" s="54">
        <v>12</v>
      </c>
      <c r="C27" s="75" t="s">
        <v>38</v>
      </c>
      <c r="D27" s="78" t="s">
        <v>39</v>
      </c>
      <c r="E27" s="78" t="s">
        <v>40</v>
      </c>
      <c r="F27" s="54">
        <v>118</v>
      </c>
      <c r="G27" s="54">
        <v>1012</v>
      </c>
      <c r="H27" s="54">
        <v>9</v>
      </c>
      <c r="I27" s="85">
        <v>37261</v>
      </c>
      <c r="J27" s="5">
        <v>11</v>
      </c>
      <c r="K27" s="57">
        <v>1.1584490740740741E-3</v>
      </c>
      <c r="L27" s="60">
        <v>52</v>
      </c>
    </row>
    <row r="28" spans="1:25" x14ac:dyDescent="0.25">
      <c r="A28" s="73"/>
      <c r="B28" s="55"/>
      <c r="C28" s="76"/>
      <c r="D28" s="79"/>
      <c r="E28" s="79"/>
      <c r="F28" s="55"/>
      <c r="G28" s="55"/>
      <c r="H28" s="55"/>
      <c r="I28" s="86"/>
      <c r="J28" s="6">
        <v>11</v>
      </c>
      <c r="K28" s="58"/>
      <c r="L28" s="61"/>
    </row>
    <row r="29" spans="1:25" x14ac:dyDescent="0.25">
      <c r="A29" s="73"/>
      <c r="B29" s="55"/>
      <c r="C29" s="76"/>
      <c r="D29" s="79"/>
      <c r="E29" s="79"/>
      <c r="F29" s="55"/>
      <c r="G29" s="55"/>
      <c r="H29" s="55"/>
      <c r="I29" s="86"/>
      <c r="J29" s="6">
        <v>12</v>
      </c>
      <c r="K29" s="58"/>
      <c r="L29" s="61"/>
    </row>
    <row r="30" spans="1:25" ht="17.25" thickBot="1" x14ac:dyDescent="0.3">
      <c r="A30" s="74"/>
      <c r="B30" s="56"/>
      <c r="C30" s="77"/>
      <c r="D30" s="80"/>
      <c r="E30" s="80"/>
      <c r="F30" s="56"/>
      <c r="G30" s="56"/>
      <c r="H30" s="56"/>
      <c r="I30" s="87"/>
      <c r="J30" s="7">
        <v>7</v>
      </c>
      <c r="K30" s="59"/>
      <c r="L30" s="62"/>
      <c r="N30">
        <f t="shared" si="1"/>
        <v>8</v>
      </c>
      <c r="O30">
        <f t="shared" si="2"/>
        <v>7</v>
      </c>
      <c r="P30" t="str">
        <f t="shared" si="3"/>
        <v>綫路達飛 (J501)</v>
      </c>
      <c r="Q30" t="str">
        <f t="shared" si="4"/>
        <v>楊明綸</v>
      </c>
      <c r="R30" t="str">
        <f t="shared" si="5"/>
        <v>蘇偉賢</v>
      </c>
      <c r="S30">
        <f t="shared" si="6"/>
        <v>127</v>
      </c>
      <c r="T30">
        <f t="shared" si="7"/>
        <v>1105</v>
      </c>
      <c r="U30">
        <f t="shared" si="8"/>
        <v>6</v>
      </c>
      <c r="V30">
        <f t="shared" si="9"/>
        <v>38051</v>
      </c>
      <c r="W30" t="str">
        <f t="shared" si="10"/>
        <v>8,8,8,8</v>
      </c>
      <c r="X30" t="str">
        <f t="shared" si="11"/>
        <v>01:40.1</v>
      </c>
      <c r="Y30">
        <f t="shared" si="12"/>
        <v>114</v>
      </c>
    </row>
    <row r="31" spans="1:25" x14ac:dyDescent="0.25">
      <c r="A31" s="63">
        <v>8</v>
      </c>
      <c r="B31" s="42">
        <v>7</v>
      </c>
      <c r="C31" s="66" t="s">
        <v>41</v>
      </c>
      <c r="D31" s="69" t="s">
        <v>42</v>
      </c>
      <c r="E31" s="69" t="s">
        <v>43</v>
      </c>
      <c r="F31" s="42">
        <v>127</v>
      </c>
      <c r="G31" s="42">
        <v>1105</v>
      </c>
      <c r="H31" s="42">
        <v>6</v>
      </c>
      <c r="I31" s="45">
        <v>38051</v>
      </c>
      <c r="J31" s="8">
        <v>8</v>
      </c>
      <c r="K31" s="48">
        <v>1.1589120370370371E-3</v>
      </c>
      <c r="L31" s="51">
        <v>114</v>
      </c>
    </row>
    <row r="32" spans="1:25" x14ac:dyDescent="0.25">
      <c r="A32" s="64"/>
      <c r="B32" s="43"/>
      <c r="C32" s="67"/>
      <c r="D32" s="70"/>
      <c r="E32" s="70"/>
      <c r="F32" s="43"/>
      <c r="G32" s="43"/>
      <c r="H32" s="43"/>
      <c r="I32" s="46"/>
      <c r="J32" s="9">
        <v>8</v>
      </c>
      <c r="K32" s="49"/>
      <c r="L32" s="52"/>
    </row>
    <row r="33" spans="1:25" x14ac:dyDescent="0.25">
      <c r="A33" s="64"/>
      <c r="B33" s="43"/>
      <c r="C33" s="67"/>
      <c r="D33" s="70"/>
      <c r="E33" s="70"/>
      <c r="F33" s="43"/>
      <c r="G33" s="43"/>
      <c r="H33" s="43"/>
      <c r="I33" s="46"/>
      <c r="J33" s="9">
        <v>8</v>
      </c>
      <c r="K33" s="49"/>
      <c r="L33" s="52"/>
    </row>
    <row r="34" spans="1:25" ht="17.25" thickBot="1" x14ac:dyDescent="0.3">
      <c r="A34" s="88"/>
      <c r="B34" s="81"/>
      <c r="C34" s="89"/>
      <c r="D34" s="90"/>
      <c r="E34" s="90"/>
      <c r="F34" s="81"/>
      <c r="G34" s="81"/>
      <c r="H34" s="81"/>
      <c r="I34" s="82"/>
      <c r="J34" s="10">
        <v>8</v>
      </c>
      <c r="K34" s="83"/>
      <c r="L34" s="84"/>
      <c r="N34">
        <f t="shared" si="1"/>
        <v>9</v>
      </c>
      <c r="O34">
        <f t="shared" si="2"/>
        <v>8</v>
      </c>
      <c r="P34" t="str">
        <f t="shared" si="3"/>
        <v>電訊驕陽 (J332)</v>
      </c>
      <c r="Q34" t="str">
        <f t="shared" si="4"/>
        <v>袁幸堯</v>
      </c>
      <c r="R34" t="str">
        <f t="shared" si="5"/>
        <v>徐雨石</v>
      </c>
      <c r="S34">
        <f t="shared" si="6"/>
        <v>115</v>
      </c>
      <c r="T34">
        <f t="shared" si="7"/>
        <v>1063</v>
      </c>
      <c r="U34">
        <f t="shared" si="8"/>
        <v>8</v>
      </c>
      <c r="V34">
        <f t="shared" si="9"/>
        <v>6</v>
      </c>
      <c r="W34" t="str">
        <f t="shared" si="10"/>
        <v>10,10,10,9</v>
      </c>
      <c r="X34" t="str">
        <f t="shared" si="11"/>
        <v>01:40.2</v>
      </c>
      <c r="Y34">
        <f t="shared" si="12"/>
        <v>5.8</v>
      </c>
    </row>
    <row r="35" spans="1:25" x14ac:dyDescent="0.25">
      <c r="A35" s="72">
        <v>9</v>
      </c>
      <c r="B35" s="54">
        <v>8</v>
      </c>
      <c r="C35" s="75" t="s">
        <v>44</v>
      </c>
      <c r="D35" s="78" t="s">
        <v>45</v>
      </c>
      <c r="E35" s="78" t="s">
        <v>46</v>
      </c>
      <c r="F35" s="54">
        <v>115</v>
      </c>
      <c r="G35" s="54">
        <v>1063</v>
      </c>
      <c r="H35" s="54">
        <v>8</v>
      </c>
      <c r="I35" s="54">
        <v>6</v>
      </c>
      <c r="J35" s="5">
        <v>10</v>
      </c>
      <c r="K35" s="57">
        <v>1.1591435185185186E-3</v>
      </c>
      <c r="L35" s="60">
        <v>5.8</v>
      </c>
    </row>
    <row r="36" spans="1:25" x14ac:dyDescent="0.25">
      <c r="A36" s="73"/>
      <c r="B36" s="55"/>
      <c r="C36" s="76"/>
      <c r="D36" s="79"/>
      <c r="E36" s="79"/>
      <c r="F36" s="55"/>
      <c r="G36" s="55"/>
      <c r="H36" s="55"/>
      <c r="I36" s="55"/>
      <c r="J36" s="6">
        <v>10</v>
      </c>
      <c r="K36" s="58"/>
      <c r="L36" s="61"/>
    </row>
    <row r="37" spans="1:25" x14ac:dyDescent="0.25">
      <c r="A37" s="73"/>
      <c r="B37" s="55"/>
      <c r="C37" s="76"/>
      <c r="D37" s="79"/>
      <c r="E37" s="79"/>
      <c r="F37" s="55"/>
      <c r="G37" s="55"/>
      <c r="H37" s="55"/>
      <c r="I37" s="55"/>
      <c r="J37" s="6">
        <v>10</v>
      </c>
      <c r="K37" s="58"/>
      <c r="L37" s="61"/>
    </row>
    <row r="38" spans="1:25" ht="17.25" thickBot="1" x14ac:dyDescent="0.3">
      <c r="A38" s="74"/>
      <c r="B38" s="56"/>
      <c r="C38" s="77"/>
      <c r="D38" s="80"/>
      <c r="E38" s="80"/>
      <c r="F38" s="56"/>
      <c r="G38" s="56"/>
      <c r="H38" s="56"/>
      <c r="I38" s="56"/>
      <c r="J38" s="7">
        <v>9</v>
      </c>
      <c r="K38" s="59"/>
      <c r="L38" s="62"/>
      <c r="N38">
        <f t="shared" si="1"/>
        <v>10</v>
      </c>
      <c r="O38">
        <f t="shared" si="2"/>
        <v>9</v>
      </c>
      <c r="P38" t="str">
        <f t="shared" si="3"/>
        <v>至高心得 (J395)</v>
      </c>
      <c r="Q38" t="str">
        <f t="shared" si="4"/>
        <v>梁家俊</v>
      </c>
      <c r="R38" t="str">
        <f t="shared" si="5"/>
        <v>韋達</v>
      </c>
      <c r="S38">
        <f t="shared" si="6"/>
        <v>123</v>
      </c>
      <c r="T38">
        <f t="shared" si="7"/>
        <v>1019</v>
      </c>
      <c r="U38">
        <f t="shared" si="8"/>
        <v>2</v>
      </c>
      <c r="V38">
        <f t="shared" si="9"/>
        <v>37993</v>
      </c>
      <c r="W38" t="str">
        <f t="shared" si="10"/>
        <v>3,5,5,10</v>
      </c>
      <c r="X38" t="str">
        <f t="shared" si="11"/>
        <v>01:40.4</v>
      </c>
      <c r="Y38">
        <f t="shared" si="12"/>
        <v>16</v>
      </c>
    </row>
    <row r="39" spans="1:25" x14ac:dyDescent="0.25">
      <c r="A39" s="63">
        <v>10</v>
      </c>
      <c r="B39" s="42">
        <v>9</v>
      </c>
      <c r="C39" s="66" t="s">
        <v>47</v>
      </c>
      <c r="D39" s="69" t="s">
        <v>48</v>
      </c>
      <c r="E39" s="69" t="s">
        <v>49</v>
      </c>
      <c r="F39" s="42">
        <v>123</v>
      </c>
      <c r="G39" s="42">
        <v>1019</v>
      </c>
      <c r="H39" s="42">
        <v>2</v>
      </c>
      <c r="I39" s="45">
        <v>37993</v>
      </c>
      <c r="J39" s="8">
        <v>3</v>
      </c>
      <c r="K39" s="48">
        <v>1.1618055555555555E-3</v>
      </c>
      <c r="L39" s="51">
        <v>16</v>
      </c>
    </row>
    <row r="40" spans="1:25" x14ac:dyDescent="0.25">
      <c r="A40" s="64"/>
      <c r="B40" s="43"/>
      <c r="C40" s="67"/>
      <c r="D40" s="70"/>
      <c r="E40" s="70"/>
      <c r="F40" s="43"/>
      <c r="G40" s="43"/>
      <c r="H40" s="43"/>
      <c r="I40" s="46"/>
      <c r="J40" s="9">
        <v>5</v>
      </c>
      <c r="K40" s="49"/>
      <c r="L40" s="52"/>
    </row>
    <row r="41" spans="1:25" x14ac:dyDescent="0.25">
      <c r="A41" s="64"/>
      <c r="B41" s="43"/>
      <c r="C41" s="67"/>
      <c r="D41" s="70"/>
      <c r="E41" s="70"/>
      <c r="F41" s="43"/>
      <c r="G41" s="43"/>
      <c r="H41" s="43"/>
      <c r="I41" s="46"/>
      <c r="J41" s="9">
        <v>5</v>
      </c>
      <c r="K41" s="49"/>
      <c r="L41" s="52"/>
    </row>
    <row r="42" spans="1:25" ht="17.25" thickBot="1" x14ac:dyDescent="0.3">
      <c r="A42" s="88"/>
      <c r="B42" s="81"/>
      <c r="C42" s="89"/>
      <c r="D42" s="90"/>
      <c r="E42" s="90"/>
      <c r="F42" s="81"/>
      <c r="G42" s="81"/>
      <c r="H42" s="81"/>
      <c r="I42" s="82"/>
      <c r="J42" s="10">
        <v>10</v>
      </c>
      <c r="K42" s="83"/>
      <c r="L42" s="84"/>
      <c r="N42">
        <f t="shared" si="1"/>
        <v>11</v>
      </c>
      <c r="O42">
        <f t="shared" si="2"/>
        <v>5</v>
      </c>
      <c r="P42" t="str">
        <f t="shared" si="3"/>
        <v>極速滿貫 (G277)</v>
      </c>
      <c r="Q42" t="str">
        <f t="shared" si="4"/>
        <v>奧爾民</v>
      </c>
      <c r="R42" t="str">
        <f t="shared" si="5"/>
        <v>黎昭昇</v>
      </c>
      <c r="S42">
        <f t="shared" si="6"/>
        <v>130</v>
      </c>
      <c r="T42">
        <f t="shared" si="7"/>
        <v>1039</v>
      </c>
      <c r="U42">
        <f t="shared" si="8"/>
        <v>10</v>
      </c>
      <c r="V42">
        <f t="shared" si="9"/>
        <v>37263</v>
      </c>
      <c r="W42" t="str">
        <f t="shared" si="10"/>
        <v>2,3,4,11</v>
      </c>
      <c r="X42" t="str">
        <f t="shared" si="11"/>
        <v>01:40.4</v>
      </c>
      <c r="Y42">
        <f t="shared" si="12"/>
        <v>29</v>
      </c>
    </row>
    <row r="43" spans="1:25" x14ac:dyDescent="0.25">
      <c r="A43" s="72">
        <v>11</v>
      </c>
      <c r="B43" s="54">
        <v>5</v>
      </c>
      <c r="C43" s="75" t="s">
        <v>50</v>
      </c>
      <c r="D43" s="78" t="s">
        <v>51</v>
      </c>
      <c r="E43" s="78" t="s">
        <v>52</v>
      </c>
      <c r="F43" s="54">
        <v>130</v>
      </c>
      <c r="G43" s="54">
        <v>1039</v>
      </c>
      <c r="H43" s="54">
        <v>10</v>
      </c>
      <c r="I43" s="85">
        <v>37263</v>
      </c>
      <c r="J43" s="5">
        <v>2</v>
      </c>
      <c r="K43" s="57">
        <v>1.1620370370370372E-3</v>
      </c>
      <c r="L43" s="60">
        <v>29</v>
      </c>
    </row>
    <row r="44" spans="1:25" x14ac:dyDescent="0.25">
      <c r="A44" s="73"/>
      <c r="B44" s="55"/>
      <c r="C44" s="76"/>
      <c r="D44" s="79"/>
      <c r="E44" s="79"/>
      <c r="F44" s="55"/>
      <c r="G44" s="55"/>
      <c r="H44" s="55"/>
      <c r="I44" s="86"/>
      <c r="J44" s="6">
        <v>3</v>
      </c>
      <c r="K44" s="58"/>
      <c r="L44" s="61"/>
    </row>
    <row r="45" spans="1:25" x14ac:dyDescent="0.25">
      <c r="A45" s="73"/>
      <c r="B45" s="55"/>
      <c r="C45" s="76"/>
      <c r="D45" s="79"/>
      <c r="E45" s="79"/>
      <c r="F45" s="55"/>
      <c r="G45" s="55"/>
      <c r="H45" s="55"/>
      <c r="I45" s="86"/>
      <c r="J45" s="6">
        <v>4</v>
      </c>
      <c r="K45" s="58"/>
      <c r="L45" s="61"/>
    </row>
    <row r="46" spans="1:25" ht="17.25" thickBot="1" x14ac:dyDescent="0.3">
      <c r="A46" s="74"/>
      <c r="B46" s="56"/>
      <c r="C46" s="77"/>
      <c r="D46" s="80"/>
      <c r="E46" s="80"/>
      <c r="F46" s="56"/>
      <c r="G46" s="56"/>
      <c r="H46" s="56"/>
      <c r="I46" s="87"/>
      <c r="J46" s="7">
        <v>11</v>
      </c>
      <c r="K46" s="59"/>
      <c r="L46" s="62"/>
      <c r="N46">
        <f t="shared" si="1"/>
        <v>12</v>
      </c>
      <c r="O46">
        <f t="shared" si="2"/>
        <v>2</v>
      </c>
      <c r="P46" t="str">
        <f t="shared" si="3"/>
        <v>一風雲 (K336)</v>
      </c>
      <c r="Q46" t="str">
        <f t="shared" si="4"/>
        <v>金誠剛</v>
      </c>
      <c r="R46" t="str">
        <f t="shared" si="5"/>
        <v>丁冠豪</v>
      </c>
      <c r="S46">
        <f t="shared" si="6"/>
        <v>134</v>
      </c>
      <c r="T46">
        <f t="shared" si="7"/>
        <v>1264</v>
      </c>
      <c r="U46">
        <f t="shared" si="8"/>
        <v>5</v>
      </c>
      <c r="V46">
        <f t="shared" si="9"/>
        <v>37266</v>
      </c>
      <c r="W46" t="str">
        <f t="shared" si="10"/>
        <v>7,7,7,12</v>
      </c>
      <c r="X46" t="str">
        <f t="shared" si="11"/>
        <v>01:40.9</v>
      </c>
      <c r="Y46">
        <f t="shared" si="12"/>
        <v>77</v>
      </c>
    </row>
    <row r="47" spans="1:25" x14ac:dyDescent="0.25">
      <c r="A47" s="63">
        <v>12</v>
      </c>
      <c r="B47" s="42">
        <v>2</v>
      </c>
      <c r="C47" s="66" t="s">
        <v>53</v>
      </c>
      <c r="D47" s="69" t="s">
        <v>54</v>
      </c>
      <c r="E47" s="69" t="s">
        <v>55</v>
      </c>
      <c r="F47" s="42">
        <v>134</v>
      </c>
      <c r="G47" s="42">
        <v>1264</v>
      </c>
      <c r="H47" s="42">
        <v>5</v>
      </c>
      <c r="I47" s="45">
        <v>37266</v>
      </c>
      <c r="J47" s="8">
        <v>7</v>
      </c>
      <c r="K47" s="48">
        <v>1.1675925925925925E-3</v>
      </c>
      <c r="L47" s="51">
        <v>77</v>
      </c>
    </row>
    <row r="48" spans="1:25" x14ac:dyDescent="0.25">
      <c r="A48" s="64"/>
      <c r="B48" s="43"/>
      <c r="C48" s="67"/>
      <c r="D48" s="70"/>
      <c r="E48" s="70"/>
      <c r="F48" s="43"/>
      <c r="G48" s="43"/>
      <c r="H48" s="43"/>
      <c r="I48" s="46"/>
      <c r="J48" s="9">
        <v>7</v>
      </c>
      <c r="K48" s="49"/>
      <c r="L48" s="52"/>
    </row>
    <row r="49" spans="1:25" x14ac:dyDescent="0.25">
      <c r="A49" s="64"/>
      <c r="B49" s="43"/>
      <c r="C49" s="67"/>
      <c r="D49" s="70"/>
      <c r="E49" s="70"/>
      <c r="F49" s="43"/>
      <c r="G49" s="43"/>
      <c r="H49" s="43"/>
      <c r="I49" s="46"/>
      <c r="J49" s="9">
        <v>7</v>
      </c>
      <c r="K49" s="49"/>
      <c r="L49" s="52"/>
    </row>
    <row r="50" spans="1:25" ht="17.25" thickBot="1" x14ac:dyDescent="0.3">
      <c r="A50" s="65"/>
      <c r="B50" s="44"/>
      <c r="C50" s="68"/>
      <c r="D50" s="71"/>
      <c r="E50" s="71"/>
      <c r="F50" s="44"/>
      <c r="G50" s="44"/>
      <c r="H50" s="44"/>
      <c r="I50" s="47"/>
      <c r="J50" s="11">
        <v>12</v>
      </c>
      <c r="K50" s="50"/>
      <c r="L50" s="53"/>
      <c r="N50" t="str">
        <f t="shared" ref="N47:N66" si="13">A51</f>
        <v>名次</v>
      </c>
      <c r="O50" t="str">
        <f t="shared" ref="O47:O66" si="14">B51</f>
        <v>馬號</v>
      </c>
      <c r="P50" t="str">
        <f t="shared" ref="P47:P66" si="15">C51</f>
        <v>馬名</v>
      </c>
      <c r="Q50" t="str">
        <f t="shared" ref="Q47:Q66" si="16">D51</f>
        <v>騎師</v>
      </c>
      <c r="R50" t="str">
        <f t="shared" ref="R47:R66" si="17">E51</f>
        <v>練馬師</v>
      </c>
      <c r="S50" t="str">
        <f t="shared" ref="S47:S66" si="18">F51</f>
        <v>實際</v>
      </c>
      <c r="T50" t="str">
        <f t="shared" ref="T47:T66" si="19">G51</f>
        <v>排位</v>
      </c>
      <c r="U50" t="str">
        <f t="shared" ref="U47:U66" si="20">H51</f>
        <v>檔位</v>
      </c>
      <c r="V50" t="str">
        <f t="shared" ref="V47:V66" si="21">I51</f>
        <v>頭馬</v>
      </c>
      <c r="W50" t="str">
        <f t="shared" ref="W47:W66" si="22">J51&amp;","&amp;J52&amp;","&amp;J53&amp;","&amp;J54</f>
        <v>沿途,走位,6,6</v>
      </c>
      <c r="X50" t="str">
        <f t="shared" ref="X47:X66" si="23">TEXT(K51, "mm:ss.0")</f>
        <v>完成</v>
      </c>
      <c r="Y50" t="str">
        <f t="shared" ref="Y47:Y66" si="24">L51</f>
        <v>獨贏</v>
      </c>
    </row>
    <row r="51" spans="1:25" ht="17.25" thickTop="1" x14ac:dyDescent="0.25">
      <c r="A51" s="38" t="s">
        <v>0</v>
      </c>
      <c r="B51" s="40" t="s">
        <v>1</v>
      </c>
      <c r="C51" s="40" t="s">
        <v>2</v>
      </c>
      <c r="D51" s="40" t="s">
        <v>3</v>
      </c>
      <c r="E51" s="40" t="s">
        <v>4</v>
      </c>
      <c r="F51" s="1" t="s">
        <v>5</v>
      </c>
      <c r="G51" s="1" t="s">
        <v>6</v>
      </c>
      <c r="H51" s="40" t="s">
        <v>7</v>
      </c>
      <c r="I51" s="1" t="s">
        <v>8</v>
      </c>
      <c r="J51" s="1" t="s">
        <v>9</v>
      </c>
      <c r="K51" s="1" t="s">
        <v>10</v>
      </c>
      <c r="L51" s="2" t="s">
        <v>11</v>
      </c>
    </row>
    <row r="52" spans="1:25" ht="17.25" thickBot="1" x14ac:dyDescent="0.3">
      <c r="A52" s="39"/>
      <c r="B52" s="41"/>
      <c r="C52" s="41"/>
      <c r="D52" s="41"/>
      <c r="E52" s="41"/>
      <c r="F52" s="3" t="s">
        <v>12</v>
      </c>
      <c r="G52" s="3" t="s">
        <v>13</v>
      </c>
      <c r="H52" s="41"/>
      <c r="I52" s="3" t="s">
        <v>14</v>
      </c>
      <c r="J52" s="3" t="s">
        <v>15</v>
      </c>
      <c r="K52" s="3" t="s">
        <v>16</v>
      </c>
      <c r="L52" s="4" t="s">
        <v>17</v>
      </c>
      <c r="N52">
        <f t="shared" si="13"/>
        <v>1</v>
      </c>
      <c r="O52">
        <f t="shared" si="14"/>
        <v>10</v>
      </c>
      <c r="P52" t="str">
        <f t="shared" si="15"/>
        <v>比特星 (J362)</v>
      </c>
      <c r="Q52" t="str">
        <f t="shared" si="16"/>
        <v>潘頓</v>
      </c>
      <c r="R52" t="str">
        <f t="shared" si="17"/>
        <v>賀賢</v>
      </c>
      <c r="S52">
        <f t="shared" si="18"/>
        <v>120</v>
      </c>
      <c r="T52">
        <f t="shared" si="19"/>
        <v>1037</v>
      </c>
      <c r="U52">
        <f t="shared" si="20"/>
        <v>5</v>
      </c>
      <c r="V52" t="str">
        <f t="shared" si="21"/>
        <v>---</v>
      </c>
      <c r="W52" t="str">
        <f t="shared" si="22"/>
        <v>6,6,1,11</v>
      </c>
      <c r="X52" t="str">
        <f t="shared" si="23"/>
        <v>01:09.7</v>
      </c>
      <c r="Y52">
        <f t="shared" si="24"/>
        <v>6.2</v>
      </c>
    </row>
    <row r="53" spans="1:25" x14ac:dyDescent="0.25">
      <c r="A53" s="72">
        <v>1</v>
      </c>
      <c r="B53" s="54">
        <v>10</v>
      </c>
      <c r="C53" s="75" t="s">
        <v>56</v>
      </c>
      <c r="D53" s="78" t="s">
        <v>23</v>
      </c>
      <c r="E53" s="78" t="s">
        <v>57</v>
      </c>
      <c r="F53" s="54">
        <v>120</v>
      </c>
      <c r="G53" s="54">
        <v>1037</v>
      </c>
      <c r="H53" s="54">
        <v>5</v>
      </c>
      <c r="I53" s="54" t="s">
        <v>21</v>
      </c>
      <c r="J53" s="5">
        <v>6</v>
      </c>
      <c r="K53" s="57">
        <v>8.0682870370370381E-4</v>
      </c>
      <c r="L53" s="60">
        <v>6.2</v>
      </c>
    </row>
    <row r="54" spans="1:25" x14ac:dyDescent="0.25">
      <c r="A54" s="73"/>
      <c r="B54" s="55"/>
      <c r="C54" s="76"/>
      <c r="D54" s="79"/>
      <c r="E54" s="79"/>
      <c r="F54" s="55"/>
      <c r="G54" s="55"/>
      <c r="H54" s="55"/>
      <c r="I54" s="55"/>
      <c r="J54" s="6">
        <v>6</v>
      </c>
      <c r="K54" s="58"/>
      <c r="L54" s="61"/>
    </row>
    <row r="55" spans="1:25" ht="17.25" thickBot="1" x14ac:dyDescent="0.3">
      <c r="A55" s="74"/>
      <c r="B55" s="56"/>
      <c r="C55" s="77"/>
      <c r="D55" s="80"/>
      <c r="E55" s="80"/>
      <c r="F55" s="56"/>
      <c r="G55" s="56"/>
      <c r="H55" s="56"/>
      <c r="I55" s="56"/>
      <c r="J55" s="7">
        <v>1</v>
      </c>
      <c r="K55" s="59"/>
      <c r="L55" s="62"/>
      <c r="N55" t="str">
        <f t="shared" si="13"/>
        <v> 2</v>
      </c>
      <c r="O55">
        <f t="shared" si="14"/>
        <v>11</v>
      </c>
      <c r="P55" t="str">
        <f t="shared" si="15"/>
        <v>有盈勇士 (K271)</v>
      </c>
      <c r="Q55" t="str">
        <f t="shared" si="16"/>
        <v>希威森</v>
      </c>
      <c r="R55" t="str">
        <f t="shared" si="17"/>
        <v>沈集成</v>
      </c>
      <c r="S55">
        <f t="shared" si="18"/>
        <v>118</v>
      </c>
      <c r="T55">
        <f t="shared" si="19"/>
        <v>1133</v>
      </c>
      <c r="U55">
        <f t="shared" si="20"/>
        <v>9</v>
      </c>
      <c r="V55">
        <f t="shared" si="21"/>
        <v>2</v>
      </c>
      <c r="W55" t="str">
        <f t="shared" si="22"/>
        <v>11,10,2,9</v>
      </c>
      <c r="X55" t="str">
        <f t="shared" si="23"/>
        <v>01:10.0</v>
      </c>
      <c r="Y55">
        <f t="shared" si="24"/>
        <v>20</v>
      </c>
    </row>
    <row r="56" spans="1:25" x14ac:dyDescent="0.25">
      <c r="A56" s="97" t="s">
        <v>58</v>
      </c>
      <c r="B56" s="42">
        <v>11</v>
      </c>
      <c r="C56" s="66" t="s">
        <v>59</v>
      </c>
      <c r="D56" s="69" t="s">
        <v>30</v>
      </c>
      <c r="E56" s="69" t="s">
        <v>60</v>
      </c>
      <c r="F56" s="42">
        <v>118</v>
      </c>
      <c r="G56" s="42">
        <v>1133</v>
      </c>
      <c r="H56" s="42">
        <v>9</v>
      </c>
      <c r="I56" s="42">
        <v>2</v>
      </c>
      <c r="J56" s="8">
        <v>11</v>
      </c>
      <c r="K56" s="48">
        <v>8.1053240740740738E-4</v>
      </c>
      <c r="L56" s="51">
        <v>20</v>
      </c>
    </row>
    <row r="57" spans="1:25" x14ac:dyDescent="0.25">
      <c r="A57" s="98"/>
      <c r="B57" s="43"/>
      <c r="C57" s="67"/>
      <c r="D57" s="70"/>
      <c r="E57" s="70"/>
      <c r="F57" s="43"/>
      <c r="G57" s="43"/>
      <c r="H57" s="43"/>
      <c r="I57" s="43"/>
      <c r="J57" s="9">
        <v>10</v>
      </c>
      <c r="K57" s="49"/>
      <c r="L57" s="52"/>
    </row>
    <row r="58" spans="1:25" ht="17.25" thickBot="1" x14ac:dyDescent="0.3">
      <c r="A58" s="99"/>
      <c r="B58" s="81"/>
      <c r="C58" s="89"/>
      <c r="D58" s="90"/>
      <c r="E58" s="90"/>
      <c r="F58" s="81"/>
      <c r="G58" s="81"/>
      <c r="H58" s="81"/>
      <c r="I58" s="81"/>
      <c r="J58" s="10">
        <v>2</v>
      </c>
      <c r="K58" s="83"/>
      <c r="L58" s="84"/>
      <c r="N58" t="str">
        <f t="shared" si="13"/>
        <v> 3</v>
      </c>
      <c r="O58">
        <f t="shared" si="14"/>
        <v>8</v>
      </c>
      <c r="P58" t="str">
        <f t="shared" si="15"/>
        <v>鄉村威龍 (L325)</v>
      </c>
      <c r="Q58" t="str">
        <f t="shared" si="16"/>
        <v>艾道拿</v>
      </c>
      <c r="R58" t="str">
        <f t="shared" si="17"/>
        <v>蔡約翰</v>
      </c>
      <c r="S58">
        <f t="shared" si="18"/>
        <v>127</v>
      </c>
      <c r="T58">
        <f t="shared" si="19"/>
        <v>1095</v>
      </c>
      <c r="U58">
        <f t="shared" si="20"/>
        <v>10</v>
      </c>
      <c r="V58">
        <f t="shared" si="21"/>
        <v>37988</v>
      </c>
      <c r="W58" t="str">
        <f t="shared" si="22"/>
        <v>9,7,3,4</v>
      </c>
      <c r="X58" t="str">
        <f t="shared" si="23"/>
        <v>01:10.1</v>
      </c>
      <c r="Y58">
        <f t="shared" si="24"/>
        <v>12</v>
      </c>
    </row>
    <row r="59" spans="1:25" x14ac:dyDescent="0.25">
      <c r="A59" s="100" t="s">
        <v>61</v>
      </c>
      <c r="B59" s="54">
        <v>8</v>
      </c>
      <c r="C59" s="75" t="s">
        <v>62</v>
      </c>
      <c r="D59" s="78" t="s">
        <v>63</v>
      </c>
      <c r="E59" s="78" t="s">
        <v>40</v>
      </c>
      <c r="F59" s="54">
        <v>127</v>
      </c>
      <c r="G59" s="54">
        <v>1095</v>
      </c>
      <c r="H59" s="54">
        <v>10</v>
      </c>
      <c r="I59" s="85">
        <v>37988</v>
      </c>
      <c r="J59" s="5">
        <v>9</v>
      </c>
      <c r="K59" s="57">
        <v>8.108796296296296E-4</v>
      </c>
      <c r="L59" s="60">
        <v>12</v>
      </c>
    </row>
    <row r="60" spans="1:25" x14ac:dyDescent="0.25">
      <c r="A60" s="101"/>
      <c r="B60" s="55"/>
      <c r="C60" s="76"/>
      <c r="D60" s="79"/>
      <c r="E60" s="79"/>
      <c r="F60" s="55"/>
      <c r="G60" s="55"/>
      <c r="H60" s="55"/>
      <c r="I60" s="86"/>
      <c r="J60" s="6">
        <v>7</v>
      </c>
      <c r="K60" s="58"/>
      <c r="L60" s="61"/>
    </row>
    <row r="61" spans="1:25" ht="17.25" thickBot="1" x14ac:dyDescent="0.3">
      <c r="A61" s="102"/>
      <c r="B61" s="56"/>
      <c r="C61" s="77"/>
      <c r="D61" s="80"/>
      <c r="E61" s="80"/>
      <c r="F61" s="56"/>
      <c r="G61" s="56"/>
      <c r="H61" s="56"/>
      <c r="I61" s="87"/>
      <c r="J61" s="7">
        <v>3</v>
      </c>
      <c r="K61" s="59"/>
      <c r="L61" s="62"/>
      <c r="N61">
        <f t="shared" si="13"/>
        <v>4</v>
      </c>
      <c r="O61">
        <f t="shared" si="14"/>
        <v>9</v>
      </c>
      <c r="P61" t="str">
        <f t="shared" si="15"/>
        <v>開心五月 (K016)</v>
      </c>
      <c r="Q61" t="str">
        <f t="shared" si="16"/>
        <v>鍾易禮</v>
      </c>
      <c r="R61" t="str">
        <f t="shared" si="17"/>
        <v>告東尼</v>
      </c>
      <c r="S61">
        <f t="shared" si="18"/>
        <v>121</v>
      </c>
      <c r="T61">
        <f t="shared" si="19"/>
        <v>1147</v>
      </c>
      <c r="U61">
        <f t="shared" si="20"/>
        <v>4</v>
      </c>
      <c r="V61">
        <f t="shared" si="21"/>
        <v>37988</v>
      </c>
      <c r="W61" t="str">
        <f t="shared" si="22"/>
        <v>4,4,4,7</v>
      </c>
      <c r="X61" t="str">
        <f t="shared" si="23"/>
        <v>01:10.1</v>
      </c>
      <c r="Y61">
        <f t="shared" si="24"/>
        <v>3.1</v>
      </c>
    </row>
    <row r="62" spans="1:25" x14ac:dyDescent="0.25">
      <c r="A62" s="63">
        <v>4</v>
      </c>
      <c r="B62" s="42">
        <v>9</v>
      </c>
      <c r="C62" s="66" t="s">
        <v>64</v>
      </c>
      <c r="D62" s="69" t="s">
        <v>65</v>
      </c>
      <c r="E62" s="69" t="s">
        <v>66</v>
      </c>
      <c r="F62" s="42">
        <v>121</v>
      </c>
      <c r="G62" s="42">
        <v>1147</v>
      </c>
      <c r="H62" s="42">
        <v>4</v>
      </c>
      <c r="I62" s="45">
        <v>37988</v>
      </c>
      <c r="J62" s="8">
        <v>4</v>
      </c>
      <c r="K62" s="48">
        <v>8.108796296296296E-4</v>
      </c>
      <c r="L62" s="51">
        <v>3.1</v>
      </c>
    </row>
    <row r="63" spans="1:25" x14ac:dyDescent="0.25">
      <c r="A63" s="64"/>
      <c r="B63" s="43"/>
      <c r="C63" s="67"/>
      <c r="D63" s="70"/>
      <c r="E63" s="70"/>
      <c r="F63" s="43"/>
      <c r="G63" s="43"/>
      <c r="H63" s="43"/>
      <c r="I63" s="46"/>
      <c r="J63" s="9">
        <v>4</v>
      </c>
      <c r="K63" s="49"/>
      <c r="L63" s="52"/>
    </row>
    <row r="64" spans="1:25" ht="17.25" thickBot="1" x14ac:dyDescent="0.3">
      <c r="A64" s="88"/>
      <c r="B64" s="81"/>
      <c r="C64" s="89"/>
      <c r="D64" s="90"/>
      <c r="E64" s="90"/>
      <c r="F64" s="81"/>
      <c r="G64" s="81"/>
      <c r="H64" s="81"/>
      <c r="I64" s="82"/>
      <c r="J64" s="10">
        <v>4</v>
      </c>
      <c r="K64" s="83"/>
      <c r="L64" s="84"/>
      <c r="N64">
        <f t="shared" si="13"/>
        <v>5</v>
      </c>
      <c r="O64">
        <f t="shared" si="14"/>
        <v>12</v>
      </c>
      <c r="P64" t="str">
        <f t="shared" si="15"/>
        <v>首駿 (K189)</v>
      </c>
      <c r="Q64" t="str">
        <f t="shared" si="16"/>
        <v>班德禮</v>
      </c>
      <c r="R64" t="str">
        <f t="shared" si="17"/>
        <v>游達榮</v>
      </c>
      <c r="S64">
        <f t="shared" si="18"/>
        <v>118</v>
      </c>
      <c r="T64">
        <f t="shared" si="19"/>
        <v>1138</v>
      </c>
      <c r="U64">
        <f t="shared" si="20"/>
        <v>3</v>
      </c>
      <c r="V64">
        <f t="shared" si="21"/>
        <v>38048</v>
      </c>
      <c r="W64" t="str">
        <f t="shared" si="22"/>
        <v>7,8,5,2</v>
      </c>
      <c r="X64" t="str">
        <f t="shared" si="23"/>
        <v>01:10.2</v>
      </c>
      <c r="Y64">
        <f t="shared" si="24"/>
        <v>27</v>
      </c>
    </row>
    <row r="65" spans="1:25" x14ac:dyDescent="0.25">
      <c r="A65" s="72">
        <v>5</v>
      </c>
      <c r="B65" s="54">
        <v>12</v>
      </c>
      <c r="C65" s="75" t="s">
        <v>67</v>
      </c>
      <c r="D65" s="78" t="s">
        <v>68</v>
      </c>
      <c r="E65" s="78" t="s">
        <v>20</v>
      </c>
      <c r="F65" s="54">
        <v>118</v>
      </c>
      <c r="G65" s="54">
        <v>1138</v>
      </c>
      <c r="H65" s="54">
        <v>3</v>
      </c>
      <c r="I65" s="85">
        <v>38048</v>
      </c>
      <c r="J65" s="5">
        <v>7</v>
      </c>
      <c r="K65" s="57">
        <v>8.12037037037037E-4</v>
      </c>
      <c r="L65" s="60">
        <v>27</v>
      </c>
    </row>
    <row r="66" spans="1:25" x14ac:dyDescent="0.25">
      <c r="A66" s="73"/>
      <c r="B66" s="55"/>
      <c r="C66" s="76"/>
      <c r="D66" s="79"/>
      <c r="E66" s="79"/>
      <c r="F66" s="55"/>
      <c r="G66" s="55"/>
      <c r="H66" s="55"/>
      <c r="I66" s="86"/>
      <c r="J66" s="6">
        <v>8</v>
      </c>
      <c r="K66" s="58"/>
      <c r="L66" s="61"/>
    </row>
    <row r="67" spans="1:25" ht="17.25" thickBot="1" x14ac:dyDescent="0.3">
      <c r="A67" s="74"/>
      <c r="B67" s="56"/>
      <c r="C67" s="77"/>
      <c r="D67" s="80"/>
      <c r="E67" s="80"/>
      <c r="F67" s="56"/>
      <c r="G67" s="56"/>
      <c r="H67" s="56"/>
      <c r="I67" s="87"/>
      <c r="J67" s="7">
        <v>5</v>
      </c>
      <c r="K67" s="59"/>
      <c r="L67" s="62"/>
      <c r="N67">
        <f t="shared" ref="N67:N79" si="25">A68</f>
        <v>6</v>
      </c>
      <c r="O67">
        <f t="shared" ref="O67:O79" si="26">B68</f>
        <v>5</v>
      </c>
      <c r="P67" t="str">
        <f t="shared" ref="P67:P79" si="27">C68</f>
        <v>飛輪霸 (K320)</v>
      </c>
      <c r="Q67" t="str">
        <f t="shared" ref="Q67:Q79" si="28">D68</f>
        <v>潘明輝</v>
      </c>
      <c r="R67" t="str">
        <f t="shared" ref="R67:R79" si="29">E68</f>
        <v>姚本輝</v>
      </c>
      <c r="S67">
        <f t="shared" ref="S67:S79" si="30">F68</f>
        <v>130</v>
      </c>
      <c r="T67">
        <f t="shared" ref="T67:T79" si="31">G68</f>
        <v>1134</v>
      </c>
      <c r="U67">
        <f t="shared" ref="U67:U79" si="32">H68</f>
        <v>11</v>
      </c>
      <c r="V67">
        <f t="shared" ref="V67:V79" si="33">I68</f>
        <v>37989</v>
      </c>
      <c r="W67" t="str">
        <f t="shared" ref="W67:W79" si="34">J68&amp;","&amp;J69&amp;","&amp;J70&amp;","&amp;J71</f>
        <v>2,2,6,12</v>
      </c>
      <c r="X67" t="str">
        <f t="shared" ref="X67:X79" si="35">TEXT(K68, "mm:ss.0")</f>
        <v>01:10.2</v>
      </c>
      <c r="Y67">
        <f t="shared" ref="Y67:Y79" si="36">L68</f>
        <v>16</v>
      </c>
    </row>
    <row r="68" spans="1:25" x14ac:dyDescent="0.25">
      <c r="A68" s="63">
        <v>6</v>
      </c>
      <c r="B68" s="42">
        <v>5</v>
      </c>
      <c r="C68" s="66" t="s">
        <v>69</v>
      </c>
      <c r="D68" s="69" t="s">
        <v>70</v>
      </c>
      <c r="E68" s="69" t="s">
        <v>71</v>
      </c>
      <c r="F68" s="42">
        <v>130</v>
      </c>
      <c r="G68" s="42">
        <v>1134</v>
      </c>
      <c r="H68" s="42">
        <v>11</v>
      </c>
      <c r="I68" s="45">
        <v>37989</v>
      </c>
      <c r="J68" s="8">
        <v>2</v>
      </c>
      <c r="K68" s="48">
        <v>8.1307870370370366E-4</v>
      </c>
      <c r="L68" s="51">
        <v>16</v>
      </c>
    </row>
    <row r="69" spans="1:25" x14ac:dyDescent="0.25">
      <c r="A69" s="64"/>
      <c r="B69" s="43"/>
      <c r="C69" s="67"/>
      <c r="D69" s="70"/>
      <c r="E69" s="70"/>
      <c r="F69" s="43"/>
      <c r="G69" s="43"/>
      <c r="H69" s="43"/>
      <c r="I69" s="46"/>
      <c r="J69" s="9">
        <v>2</v>
      </c>
      <c r="K69" s="49"/>
      <c r="L69" s="52"/>
    </row>
    <row r="70" spans="1:25" ht="17.25" thickBot="1" x14ac:dyDescent="0.3">
      <c r="A70" s="88"/>
      <c r="B70" s="81"/>
      <c r="C70" s="89"/>
      <c r="D70" s="90"/>
      <c r="E70" s="90"/>
      <c r="F70" s="81"/>
      <c r="G70" s="81"/>
      <c r="H70" s="81"/>
      <c r="I70" s="82"/>
      <c r="J70" s="10">
        <v>6</v>
      </c>
      <c r="K70" s="83"/>
      <c r="L70" s="84"/>
      <c r="N70">
        <f t="shared" si="25"/>
        <v>7</v>
      </c>
      <c r="O70">
        <f t="shared" si="26"/>
        <v>1</v>
      </c>
      <c r="P70" t="str">
        <f t="shared" si="27"/>
        <v>紅愛舍 (H110)</v>
      </c>
      <c r="Q70" t="str">
        <f t="shared" si="28"/>
        <v>楊明綸</v>
      </c>
      <c r="R70" t="str">
        <f t="shared" si="29"/>
        <v>韋達</v>
      </c>
      <c r="S70">
        <f t="shared" si="30"/>
        <v>135</v>
      </c>
      <c r="T70">
        <f t="shared" si="31"/>
        <v>1175</v>
      </c>
      <c r="U70">
        <f t="shared" si="32"/>
        <v>12</v>
      </c>
      <c r="V70">
        <f t="shared" si="33"/>
        <v>4</v>
      </c>
      <c r="W70" t="str">
        <f t="shared" si="34"/>
        <v>12,12,7,1</v>
      </c>
      <c r="X70" t="str">
        <f t="shared" si="35"/>
        <v>01:10.3</v>
      </c>
      <c r="Y70">
        <f t="shared" si="36"/>
        <v>25</v>
      </c>
    </row>
    <row r="71" spans="1:25" x14ac:dyDescent="0.25">
      <c r="A71" s="72">
        <v>7</v>
      </c>
      <c r="B71" s="54">
        <v>1</v>
      </c>
      <c r="C71" s="75" t="s">
        <v>72</v>
      </c>
      <c r="D71" s="78" t="s">
        <v>42</v>
      </c>
      <c r="E71" s="78" t="s">
        <v>49</v>
      </c>
      <c r="F71" s="54">
        <v>135</v>
      </c>
      <c r="G71" s="54">
        <v>1175</v>
      </c>
      <c r="H71" s="54">
        <v>12</v>
      </c>
      <c r="I71" s="54">
        <v>4</v>
      </c>
      <c r="J71" s="5">
        <v>12</v>
      </c>
      <c r="K71" s="57">
        <v>8.1412037037037043E-4</v>
      </c>
      <c r="L71" s="60">
        <v>25</v>
      </c>
    </row>
    <row r="72" spans="1:25" x14ac:dyDescent="0.25">
      <c r="A72" s="73"/>
      <c r="B72" s="55"/>
      <c r="C72" s="76"/>
      <c r="D72" s="79"/>
      <c r="E72" s="79"/>
      <c r="F72" s="55"/>
      <c r="G72" s="55"/>
      <c r="H72" s="55"/>
      <c r="I72" s="55"/>
      <c r="J72" s="6">
        <v>12</v>
      </c>
      <c r="K72" s="58"/>
      <c r="L72" s="61"/>
    </row>
    <row r="73" spans="1:25" ht="17.25" thickBot="1" x14ac:dyDescent="0.3">
      <c r="A73" s="74"/>
      <c r="B73" s="56"/>
      <c r="C73" s="77"/>
      <c r="D73" s="80"/>
      <c r="E73" s="80"/>
      <c r="F73" s="56"/>
      <c r="G73" s="56"/>
      <c r="H73" s="56"/>
      <c r="I73" s="56"/>
      <c r="J73" s="7">
        <v>7</v>
      </c>
      <c r="K73" s="59"/>
      <c r="L73" s="62"/>
      <c r="N73">
        <f t="shared" si="25"/>
        <v>8</v>
      </c>
      <c r="O73">
        <f t="shared" si="26"/>
        <v>3</v>
      </c>
      <c r="P73" t="str">
        <f t="shared" si="27"/>
        <v>路路勁 (K315)</v>
      </c>
      <c r="Q73" t="str">
        <f t="shared" si="28"/>
        <v>田泰安</v>
      </c>
      <c r="R73" t="str">
        <f t="shared" si="29"/>
        <v>羅富全</v>
      </c>
      <c r="S73">
        <f t="shared" si="30"/>
        <v>132</v>
      </c>
      <c r="T73">
        <f t="shared" si="31"/>
        <v>1129</v>
      </c>
      <c r="U73">
        <f t="shared" si="32"/>
        <v>8</v>
      </c>
      <c r="V73">
        <f t="shared" si="33"/>
        <v>37990</v>
      </c>
      <c r="W73" t="str">
        <f t="shared" si="34"/>
        <v>1,1,8,5</v>
      </c>
      <c r="X73" t="str">
        <f t="shared" si="35"/>
        <v>01:10.4</v>
      </c>
      <c r="Y73">
        <f t="shared" si="36"/>
        <v>8.9</v>
      </c>
    </row>
    <row r="74" spans="1:25" x14ac:dyDescent="0.25">
      <c r="A74" s="63">
        <v>8</v>
      </c>
      <c r="B74" s="42">
        <v>3</v>
      </c>
      <c r="C74" s="66" t="s">
        <v>73</v>
      </c>
      <c r="D74" s="69" t="s">
        <v>27</v>
      </c>
      <c r="E74" s="69" t="s">
        <v>74</v>
      </c>
      <c r="F74" s="42">
        <v>132</v>
      </c>
      <c r="G74" s="42">
        <v>1129</v>
      </c>
      <c r="H74" s="42">
        <v>8</v>
      </c>
      <c r="I74" s="45">
        <v>37990</v>
      </c>
      <c r="J74" s="8">
        <v>1</v>
      </c>
      <c r="K74" s="48">
        <v>8.1481481481481487E-4</v>
      </c>
      <c r="L74" s="51">
        <v>8.9</v>
      </c>
    </row>
    <row r="75" spans="1:25" x14ac:dyDescent="0.25">
      <c r="A75" s="64"/>
      <c r="B75" s="43"/>
      <c r="C75" s="67"/>
      <c r="D75" s="70"/>
      <c r="E75" s="70"/>
      <c r="F75" s="43"/>
      <c r="G75" s="43"/>
      <c r="H75" s="43"/>
      <c r="I75" s="46"/>
      <c r="J75" s="9">
        <v>1</v>
      </c>
      <c r="K75" s="49"/>
      <c r="L75" s="52"/>
    </row>
    <row r="76" spans="1:25" ht="17.25" thickBot="1" x14ac:dyDescent="0.3">
      <c r="A76" s="88"/>
      <c r="B76" s="81"/>
      <c r="C76" s="89"/>
      <c r="D76" s="90"/>
      <c r="E76" s="90"/>
      <c r="F76" s="81"/>
      <c r="G76" s="81"/>
      <c r="H76" s="81"/>
      <c r="I76" s="82"/>
      <c r="J76" s="10">
        <v>8</v>
      </c>
      <c r="K76" s="83"/>
      <c r="L76" s="84"/>
      <c r="N76">
        <f t="shared" si="25"/>
        <v>9</v>
      </c>
      <c r="O76">
        <f t="shared" si="26"/>
        <v>2</v>
      </c>
      <c r="P76" t="str">
        <f t="shared" si="27"/>
        <v>銳喜 (L284)</v>
      </c>
      <c r="Q76" t="str">
        <f t="shared" si="28"/>
        <v>蔡明紹</v>
      </c>
      <c r="R76" t="str">
        <f t="shared" si="29"/>
        <v>徐雨石</v>
      </c>
      <c r="S76">
        <f t="shared" si="30"/>
        <v>134</v>
      </c>
      <c r="T76">
        <f t="shared" si="31"/>
        <v>1023</v>
      </c>
      <c r="U76">
        <f t="shared" si="32"/>
        <v>2</v>
      </c>
      <c r="V76">
        <f t="shared" si="33"/>
        <v>37991</v>
      </c>
      <c r="W76" t="str">
        <f t="shared" si="34"/>
        <v>5,5,9,8</v>
      </c>
      <c r="X76" t="str">
        <f t="shared" si="35"/>
        <v>01:10.5</v>
      </c>
      <c r="Y76">
        <f t="shared" si="36"/>
        <v>56</v>
      </c>
    </row>
    <row r="77" spans="1:25" x14ac:dyDescent="0.25">
      <c r="A77" s="72">
        <v>9</v>
      </c>
      <c r="B77" s="54">
        <v>2</v>
      </c>
      <c r="C77" s="75" t="s">
        <v>75</v>
      </c>
      <c r="D77" s="78" t="s">
        <v>76</v>
      </c>
      <c r="E77" s="78" t="s">
        <v>46</v>
      </c>
      <c r="F77" s="54">
        <v>134</v>
      </c>
      <c r="G77" s="54">
        <v>1023</v>
      </c>
      <c r="H77" s="54">
        <v>2</v>
      </c>
      <c r="I77" s="85">
        <v>37991</v>
      </c>
      <c r="J77" s="5">
        <v>5</v>
      </c>
      <c r="K77" s="57">
        <v>8.1655092592592586E-4</v>
      </c>
      <c r="L77" s="60">
        <v>56</v>
      </c>
    </row>
    <row r="78" spans="1:25" x14ac:dyDescent="0.25">
      <c r="A78" s="73"/>
      <c r="B78" s="55"/>
      <c r="C78" s="76"/>
      <c r="D78" s="79"/>
      <c r="E78" s="79"/>
      <c r="F78" s="55"/>
      <c r="G78" s="55"/>
      <c r="H78" s="55"/>
      <c r="I78" s="86"/>
      <c r="J78" s="6">
        <v>5</v>
      </c>
      <c r="K78" s="58"/>
      <c r="L78" s="61"/>
    </row>
    <row r="79" spans="1:25" ht="17.25" thickBot="1" x14ac:dyDescent="0.3">
      <c r="A79" s="74"/>
      <c r="B79" s="56"/>
      <c r="C79" s="77"/>
      <c r="D79" s="80"/>
      <c r="E79" s="80"/>
      <c r="F79" s="56"/>
      <c r="G79" s="56"/>
      <c r="H79" s="56"/>
      <c r="I79" s="87"/>
      <c r="J79" s="7">
        <v>9</v>
      </c>
      <c r="K79" s="59"/>
      <c r="L79" s="62"/>
      <c r="N79">
        <f t="shared" si="25"/>
        <v>10</v>
      </c>
      <c r="O79">
        <f t="shared" si="26"/>
        <v>4</v>
      </c>
      <c r="P79" t="str">
        <f t="shared" si="27"/>
        <v>馬馳登 (L133)</v>
      </c>
      <c r="Q79" t="str">
        <f t="shared" si="28"/>
        <v>艾兆禮</v>
      </c>
      <c r="R79" t="str">
        <f t="shared" si="29"/>
        <v>黎昭昇</v>
      </c>
      <c r="S79">
        <f t="shared" si="30"/>
        <v>132</v>
      </c>
      <c r="T79">
        <f t="shared" si="31"/>
        <v>1183</v>
      </c>
      <c r="U79">
        <f t="shared" si="32"/>
        <v>7</v>
      </c>
      <c r="V79">
        <f t="shared" si="33"/>
        <v>38051</v>
      </c>
      <c r="W79" t="str">
        <f t="shared" si="34"/>
        <v>8,9,10,10</v>
      </c>
      <c r="X79" t="str">
        <f t="shared" si="35"/>
        <v>01:10.6</v>
      </c>
      <c r="Y79">
        <f t="shared" si="36"/>
        <v>4.5</v>
      </c>
    </row>
    <row r="80" spans="1:25" x14ac:dyDescent="0.25">
      <c r="A80" s="63">
        <v>10</v>
      </c>
      <c r="B80" s="42">
        <v>4</v>
      </c>
      <c r="C80" s="66" t="s">
        <v>77</v>
      </c>
      <c r="D80" s="69" t="s">
        <v>39</v>
      </c>
      <c r="E80" s="69" t="s">
        <v>52</v>
      </c>
      <c r="F80" s="42">
        <v>132</v>
      </c>
      <c r="G80" s="42">
        <v>1183</v>
      </c>
      <c r="H80" s="42">
        <v>7</v>
      </c>
      <c r="I80" s="45">
        <v>38051</v>
      </c>
      <c r="J80" s="8">
        <v>8</v>
      </c>
      <c r="K80" s="48">
        <v>8.1736111111111115E-4</v>
      </c>
      <c r="L80" s="51">
        <v>4.5</v>
      </c>
    </row>
    <row r="81" spans="1:25" x14ac:dyDescent="0.25">
      <c r="A81" s="64"/>
      <c r="B81" s="43"/>
      <c r="C81" s="67"/>
      <c r="D81" s="70"/>
      <c r="E81" s="70"/>
      <c r="F81" s="43"/>
      <c r="G81" s="43"/>
      <c r="H81" s="43"/>
      <c r="I81" s="46"/>
      <c r="J81" s="9">
        <v>9</v>
      </c>
      <c r="K81" s="49"/>
      <c r="L81" s="52"/>
    </row>
    <row r="82" spans="1:25" ht="17.25" thickBot="1" x14ac:dyDescent="0.3">
      <c r="A82" s="88"/>
      <c r="B82" s="81"/>
      <c r="C82" s="89"/>
      <c r="D82" s="90"/>
      <c r="E82" s="90"/>
      <c r="F82" s="81"/>
      <c r="G82" s="81"/>
      <c r="H82" s="81"/>
      <c r="I82" s="82"/>
      <c r="J82" s="10">
        <v>10</v>
      </c>
      <c r="K82" s="83"/>
      <c r="L82" s="84"/>
      <c r="N82">
        <f t="shared" ref="N80:N108" si="37">A83</f>
        <v>11</v>
      </c>
      <c r="O82">
        <f t="shared" ref="O80:O108" si="38">B83</f>
        <v>6</v>
      </c>
      <c r="P82" t="str">
        <f t="shared" ref="P80:P108" si="39">C83</f>
        <v>金珀尖子 (L353)</v>
      </c>
      <c r="Q82" t="str">
        <f t="shared" ref="Q80:Q108" si="40">D83</f>
        <v>金誠剛</v>
      </c>
      <c r="R82" t="str">
        <f t="shared" ref="R80:R108" si="41">E83</f>
        <v>大衛希斯</v>
      </c>
      <c r="S82">
        <f t="shared" ref="S80:S108" si="42">F83</f>
        <v>128</v>
      </c>
      <c r="T82">
        <f t="shared" ref="T80:T108" si="43">G83</f>
        <v>1096</v>
      </c>
      <c r="U82">
        <f t="shared" ref="U80:U108" si="44">H83</f>
        <v>6</v>
      </c>
      <c r="V82">
        <f t="shared" ref="V80:V108" si="45">I83</f>
        <v>37993</v>
      </c>
      <c r="W82" t="str">
        <f t="shared" ref="W80:W108" si="46">J83&amp;","&amp;J84&amp;","&amp;J85&amp;","&amp;J86</f>
        <v>10,11,11,3</v>
      </c>
      <c r="X82" t="str">
        <f t="shared" ref="X80:X108" si="47">TEXT(K83, "mm:ss.0")</f>
        <v>01:10.9</v>
      </c>
      <c r="Y82">
        <f t="shared" ref="Y80:Y108" si="48">L83</f>
        <v>110</v>
      </c>
    </row>
    <row r="83" spans="1:25" x14ac:dyDescent="0.25">
      <c r="A83" s="72">
        <v>11</v>
      </c>
      <c r="B83" s="54">
        <v>6</v>
      </c>
      <c r="C83" s="75" t="s">
        <v>78</v>
      </c>
      <c r="D83" s="78" t="s">
        <v>54</v>
      </c>
      <c r="E83" s="78" t="s">
        <v>24</v>
      </c>
      <c r="F83" s="54">
        <v>128</v>
      </c>
      <c r="G83" s="54">
        <v>1096</v>
      </c>
      <c r="H83" s="54">
        <v>6</v>
      </c>
      <c r="I83" s="85">
        <v>37993</v>
      </c>
      <c r="J83" s="5">
        <v>10</v>
      </c>
      <c r="K83" s="57">
        <v>8.2025462962962965E-4</v>
      </c>
      <c r="L83" s="60">
        <v>110</v>
      </c>
    </row>
    <row r="84" spans="1:25" x14ac:dyDescent="0.25">
      <c r="A84" s="73"/>
      <c r="B84" s="55"/>
      <c r="C84" s="76"/>
      <c r="D84" s="79"/>
      <c r="E84" s="79"/>
      <c r="F84" s="55"/>
      <c r="G84" s="55"/>
      <c r="H84" s="55"/>
      <c r="I84" s="86"/>
      <c r="J84" s="6">
        <v>11</v>
      </c>
      <c r="K84" s="58"/>
      <c r="L84" s="61"/>
    </row>
    <row r="85" spans="1:25" ht="17.25" thickBot="1" x14ac:dyDescent="0.3">
      <c r="A85" s="74"/>
      <c r="B85" s="56"/>
      <c r="C85" s="77"/>
      <c r="D85" s="80"/>
      <c r="E85" s="80"/>
      <c r="F85" s="56"/>
      <c r="G85" s="56"/>
      <c r="H85" s="56"/>
      <c r="I85" s="87"/>
      <c r="J85" s="7">
        <v>11</v>
      </c>
      <c r="K85" s="59"/>
      <c r="L85" s="62"/>
      <c r="N85">
        <f t="shared" si="37"/>
        <v>12</v>
      </c>
      <c r="O85">
        <f t="shared" si="38"/>
        <v>7</v>
      </c>
      <c r="P85" t="str">
        <f t="shared" si="39"/>
        <v>銀刺勇士 (J043)</v>
      </c>
      <c r="Q85" t="str">
        <f t="shared" si="40"/>
        <v>黃智弘</v>
      </c>
      <c r="R85" t="str">
        <f t="shared" si="41"/>
        <v>方嘉柏</v>
      </c>
      <c r="S85">
        <f t="shared" si="42"/>
        <v>125</v>
      </c>
      <c r="T85">
        <f t="shared" si="43"/>
        <v>1095</v>
      </c>
      <c r="U85">
        <f t="shared" si="44"/>
        <v>1</v>
      </c>
      <c r="V85">
        <f t="shared" si="45"/>
        <v>37993</v>
      </c>
      <c r="W85" t="str">
        <f t="shared" si="46"/>
        <v>3,3,12,沿途</v>
      </c>
      <c r="X85" t="str">
        <f t="shared" si="47"/>
        <v>01:10.9</v>
      </c>
      <c r="Y85">
        <f t="shared" si="48"/>
        <v>9.5</v>
      </c>
    </row>
    <row r="86" spans="1:25" x14ac:dyDescent="0.25">
      <c r="A86" s="63">
        <v>12</v>
      </c>
      <c r="B86" s="42">
        <v>7</v>
      </c>
      <c r="C86" s="66" t="s">
        <v>79</v>
      </c>
      <c r="D86" s="69" t="s">
        <v>80</v>
      </c>
      <c r="E86" s="69" t="s">
        <v>37</v>
      </c>
      <c r="F86" s="42">
        <v>125</v>
      </c>
      <c r="G86" s="42">
        <v>1095</v>
      </c>
      <c r="H86" s="42">
        <v>1</v>
      </c>
      <c r="I86" s="45">
        <v>37993</v>
      </c>
      <c r="J86" s="8">
        <v>3</v>
      </c>
      <c r="K86" s="48">
        <v>8.2037037037037029E-4</v>
      </c>
      <c r="L86" s="51">
        <v>9.5</v>
      </c>
    </row>
    <row r="87" spans="1:25" x14ac:dyDescent="0.25">
      <c r="A87" s="64"/>
      <c r="B87" s="43"/>
      <c r="C87" s="67"/>
      <c r="D87" s="70"/>
      <c r="E87" s="70"/>
      <c r="F87" s="43"/>
      <c r="G87" s="43"/>
      <c r="H87" s="43"/>
      <c r="I87" s="46"/>
      <c r="J87" s="9">
        <v>3</v>
      </c>
      <c r="K87" s="49"/>
      <c r="L87" s="52"/>
    </row>
    <row r="88" spans="1:25" ht="17.25" thickBot="1" x14ac:dyDescent="0.3">
      <c r="A88" s="65"/>
      <c r="B88" s="44"/>
      <c r="C88" s="68"/>
      <c r="D88" s="71"/>
      <c r="E88" s="71"/>
      <c r="F88" s="44"/>
      <c r="G88" s="44"/>
      <c r="H88" s="44"/>
      <c r="I88" s="47"/>
      <c r="J88" s="11">
        <v>12</v>
      </c>
      <c r="K88" s="50"/>
      <c r="L88" s="53"/>
      <c r="N88" t="str">
        <f t="shared" si="37"/>
        <v>名次</v>
      </c>
      <c r="O88" t="str">
        <f t="shared" si="38"/>
        <v>馬號</v>
      </c>
      <c r="P88" t="str">
        <f t="shared" si="39"/>
        <v>馬名</v>
      </c>
      <c r="Q88" t="str">
        <f t="shared" si="40"/>
        <v>騎師</v>
      </c>
      <c r="R88" t="str">
        <f t="shared" si="41"/>
        <v>練馬師</v>
      </c>
      <c r="S88" t="str">
        <f t="shared" si="42"/>
        <v>實際</v>
      </c>
      <c r="T88" t="str">
        <f t="shared" si="43"/>
        <v>排位</v>
      </c>
      <c r="U88" t="str">
        <f t="shared" si="44"/>
        <v>檔位</v>
      </c>
      <c r="V88" t="str">
        <f t="shared" si="45"/>
        <v>頭馬</v>
      </c>
      <c r="W88" t="str">
        <f t="shared" si="46"/>
        <v>沿途,走位,6,6</v>
      </c>
      <c r="X88" t="str">
        <f t="shared" si="47"/>
        <v>完成</v>
      </c>
      <c r="Y88" t="str">
        <f t="shared" si="48"/>
        <v>獨贏</v>
      </c>
    </row>
    <row r="89" spans="1:25" ht="17.25" thickTop="1" x14ac:dyDescent="0.25">
      <c r="A89" s="38" t="s">
        <v>0</v>
      </c>
      <c r="B89" s="40" t="s">
        <v>1</v>
      </c>
      <c r="C89" s="40" t="s">
        <v>2</v>
      </c>
      <c r="D89" s="40" t="s">
        <v>3</v>
      </c>
      <c r="E89" s="40" t="s">
        <v>4</v>
      </c>
      <c r="F89" s="1" t="s">
        <v>5</v>
      </c>
      <c r="G89" s="1" t="s">
        <v>6</v>
      </c>
      <c r="H89" s="40" t="s">
        <v>7</v>
      </c>
      <c r="I89" s="1" t="s">
        <v>8</v>
      </c>
      <c r="J89" s="1" t="s">
        <v>9</v>
      </c>
      <c r="K89" s="1" t="s">
        <v>10</v>
      </c>
      <c r="L89" s="2" t="s">
        <v>11</v>
      </c>
    </row>
    <row r="90" spans="1:25" ht="17.25" thickBot="1" x14ac:dyDescent="0.3">
      <c r="A90" s="39"/>
      <c r="B90" s="41"/>
      <c r="C90" s="41"/>
      <c r="D90" s="41"/>
      <c r="E90" s="41"/>
      <c r="F90" s="3" t="s">
        <v>12</v>
      </c>
      <c r="G90" s="3" t="s">
        <v>13</v>
      </c>
      <c r="H90" s="41"/>
      <c r="I90" s="3" t="s">
        <v>14</v>
      </c>
      <c r="J90" s="3" t="s">
        <v>15</v>
      </c>
      <c r="K90" s="3" t="s">
        <v>16</v>
      </c>
      <c r="L90" s="4" t="s">
        <v>17</v>
      </c>
      <c r="N90">
        <f t="shared" si="37"/>
        <v>1</v>
      </c>
      <c r="O90">
        <f t="shared" si="38"/>
        <v>8</v>
      </c>
      <c r="P90" t="str">
        <f t="shared" si="39"/>
        <v>蹺妙 (L031)</v>
      </c>
      <c r="Q90" t="str">
        <f t="shared" si="40"/>
        <v>周俊樂</v>
      </c>
      <c r="R90" t="str">
        <f t="shared" si="41"/>
        <v>游達榮</v>
      </c>
      <c r="S90">
        <f t="shared" si="42"/>
        <v>122</v>
      </c>
      <c r="T90">
        <f t="shared" si="43"/>
        <v>1097</v>
      </c>
      <c r="U90">
        <f t="shared" si="44"/>
        <v>2</v>
      </c>
      <c r="V90" t="str">
        <f t="shared" si="45"/>
        <v>---</v>
      </c>
      <c r="W90" t="str">
        <f t="shared" si="46"/>
        <v>6,6,6,1</v>
      </c>
      <c r="X90" t="str">
        <f t="shared" si="47"/>
        <v>01:39.5</v>
      </c>
      <c r="Y90">
        <f t="shared" si="48"/>
        <v>4.4000000000000004</v>
      </c>
    </row>
    <row r="91" spans="1:25" x14ac:dyDescent="0.25">
      <c r="A91" s="72">
        <v>1</v>
      </c>
      <c r="B91" s="54">
        <v>8</v>
      </c>
      <c r="C91" s="75" t="s">
        <v>81</v>
      </c>
      <c r="D91" s="78" t="s">
        <v>19</v>
      </c>
      <c r="E91" s="78" t="s">
        <v>20</v>
      </c>
      <c r="F91" s="54">
        <v>122</v>
      </c>
      <c r="G91" s="54">
        <v>1097</v>
      </c>
      <c r="H91" s="54">
        <v>2</v>
      </c>
      <c r="I91" s="54" t="s">
        <v>21</v>
      </c>
      <c r="J91" s="5">
        <v>6</v>
      </c>
      <c r="K91" s="57">
        <v>1.151851851851852E-3</v>
      </c>
      <c r="L91" s="60">
        <v>4.4000000000000004</v>
      </c>
    </row>
    <row r="92" spans="1:25" x14ac:dyDescent="0.25">
      <c r="A92" s="73"/>
      <c r="B92" s="55"/>
      <c r="C92" s="76"/>
      <c r="D92" s="79"/>
      <c r="E92" s="79"/>
      <c r="F92" s="55"/>
      <c r="G92" s="55"/>
      <c r="H92" s="55"/>
      <c r="I92" s="55"/>
      <c r="J92" s="6">
        <v>6</v>
      </c>
      <c r="K92" s="58"/>
      <c r="L92" s="61"/>
    </row>
    <row r="93" spans="1:25" x14ac:dyDescent="0.25">
      <c r="A93" s="73"/>
      <c r="B93" s="55"/>
      <c r="C93" s="76"/>
      <c r="D93" s="79"/>
      <c r="E93" s="79"/>
      <c r="F93" s="55"/>
      <c r="G93" s="55"/>
      <c r="H93" s="55"/>
      <c r="I93" s="55"/>
      <c r="J93" s="6">
        <v>6</v>
      </c>
      <c r="K93" s="58"/>
      <c r="L93" s="61"/>
    </row>
    <row r="94" spans="1:25" ht="17.25" thickBot="1" x14ac:dyDescent="0.3">
      <c r="A94" s="74"/>
      <c r="B94" s="56"/>
      <c r="C94" s="77"/>
      <c r="D94" s="80"/>
      <c r="E94" s="80"/>
      <c r="F94" s="56"/>
      <c r="G94" s="56"/>
      <c r="H94" s="56"/>
      <c r="I94" s="56"/>
      <c r="J94" s="7">
        <v>1</v>
      </c>
      <c r="K94" s="59"/>
      <c r="L94" s="62"/>
      <c r="N94" t="str">
        <f t="shared" si="37"/>
        <v> 2</v>
      </c>
      <c r="O94">
        <f t="shared" si="38"/>
        <v>2</v>
      </c>
      <c r="P94" t="str">
        <f t="shared" si="39"/>
        <v>贏玥 (L039)</v>
      </c>
      <c r="Q94" t="str">
        <f t="shared" si="40"/>
        <v>潘頓</v>
      </c>
      <c r="R94" t="str">
        <f t="shared" si="41"/>
        <v>巫偉傑</v>
      </c>
      <c r="S94">
        <f t="shared" si="42"/>
        <v>132</v>
      </c>
      <c r="T94">
        <f t="shared" si="43"/>
        <v>1177</v>
      </c>
      <c r="U94">
        <f t="shared" si="44"/>
        <v>7</v>
      </c>
      <c r="V94">
        <f t="shared" si="45"/>
        <v>1</v>
      </c>
      <c r="W94" t="str">
        <f t="shared" si="46"/>
        <v>3,3,4,2</v>
      </c>
      <c r="X94" t="str">
        <f t="shared" si="47"/>
        <v>01:39.7</v>
      </c>
      <c r="Y94">
        <f t="shared" si="48"/>
        <v>6.6</v>
      </c>
    </row>
    <row r="95" spans="1:25" x14ac:dyDescent="0.25">
      <c r="A95" s="97" t="s">
        <v>58</v>
      </c>
      <c r="B95" s="42">
        <v>2</v>
      </c>
      <c r="C95" s="66" t="s">
        <v>82</v>
      </c>
      <c r="D95" s="69" t="s">
        <v>23</v>
      </c>
      <c r="E95" s="69" t="s">
        <v>28</v>
      </c>
      <c r="F95" s="42">
        <v>132</v>
      </c>
      <c r="G95" s="42">
        <v>1177</v>
      </c>
      <c r="H95" s="42">
        <v>7</v>
      </c>
      <c r="I95" s="42">
        <v>1</v>
      </c>
      <c r="J95" s="8">
        <v>3</v>
      </c>
      <c r="K95" s="48">
        <v>1.1538194444444445E-3</v>
      </c>
      <c r="L95" s="51">
        <v>6.6</v>
      </c>
    </row>
    <row r="96" spans="1:25" x14ac:dyDescent="0.25">
      <c r="A96" s="98"/>
      <c r="B96" s="43"/>
      <c r="C96" s="67"/>
      <c r="D96" s="70"/>
      <c r="E96" s="70"/>
      <c r="F96" s="43"/>
      <c r="G96" s="43"/>
      <c r="H96" s="43"/>
      <c r="I96" s="43"/>
      <c r="J96" s="9">
        <v>3</v>
      </c>
      <c r="K96" s="49"/>
      <c r="L96" s="52"/>
    </row>
    <row r="97" spans="1:25" x14ac:dyDescent="0.25">
      <c r="A97" s="98"/>
      <c r="B97" s="43"/>
      <c r="C97" s="67"/>
      <c r="D97" s="70"/>
      <c r="E97" s="70"/>
      <c r="F97" s="43"/>
      <c r="G97" s="43"/>
      <c r="H97" s="43"/>
      <c r="I97" s="43"/>
      <c r="J97" s="9">
        <v>4</v>
      </c>
      <c r="K97" s="49"/>
      <c r="L97" s="52"/>
    </row>
    <row r="98" spans="1:25" ht="17.25" thickBot="1" x14ac:dyDescent="0.3">
      <c r="A98" s="99"/>
      <c r="B98" s="81"/>
      <c r="C98" s="89"/>
      <c r="D98" s="90"/>
      <c r="E98" s="90"/>
      <c r="F98" s="81"/>
      <c r="G98" s="81"/>
      <c r="H98" s="81"/>
      <c r="I98" s="81"/>
      <c r="J98" s="10">
        <v>2</v>
      </c>
      <c r="K98" s="83"/>
      <c r="L98" s="84"/>
      <c r="N98">
        <f t="shared" si="37"/>
        <v>3</v>
      </c>
      <c r="O98">
        <f t="shared" si="38"/>
        <v>12</v>
      </c>
      <c r="P98" t="str">
        <f t="shared" si="39"/>
        <v>得意佳作 (G125)</v>
      </c>
      <c r="Q98" t="str">
        <f t="shared" si="40"/>
        <v>田泰安</v>
      </c>
      <c r="R98" t="str">
        <f t="shared" si="41"/>
        <v>姚本輝</v>
      </c>
      <c r="S98">
        <f t="shared" si="42"/>
        <v>118</v>
      </c>
      <c r="T98">
        <f t="shared" si="43"/>
        <v>1066</v>
      </c>
      <c r="U98">
        <f t="shared" si="44"/>
        <v>12</v>
      </c>
      <c r="V98">
        <f t="shared" si="45"/>
        <v>37987</v>
      </c>
      <c r="W98" t="str">
        <f t="shared" si="46"/>
        <v>1,1,1,3</v>
      </c>
      <c r="X98" t="str">
        <f t="shared" si="47"/>
        <v>01:39.7</v>
      </c>
      <c r="Y98">
        <f t="shared" si="48"/>
        <v>26</v>
      </c>
    </row>
    <row r="99" spans="1:25" x14ac:dyDescent="0.25">
      <c r="A99" s="72">
        <v>3</v>
      </c>
      <c r="B99" s="54">
        <v>12</v>
      </c>
      <c r="C99" s="75" t="s">
        <v>83</v>
      </c>
      <c r="D99" s="78" t="s">
        <v>27</v>
      </c>
      <c r="E99" s="78" t="s">
        <v>71</v>
      </c>
      <c r="F99" s="54">
        <v>118</v>
      </c>
      <c r="G99" s="54">
        <v>1066</v>
      </c>
      <c r="H99" s="54">
        <v>12</v>
      </c>
      <c r="I99" s="85">
        <v>37987</v>
      </c>
      <c r="J99" s="5">
        <v>1</v>
      </c>
      <c r="K99" s="57">
        <v>1.1539351851851851E-3</v>
      </c>
      <c r="L99" s="60">
        <v>26</v>
      </c>
    </row>
    <row r="100" spans="1:25" x14ac:dyDescent="0.25">
      <c r="A100" s="73"/>
      <c r="B100" s="55"/>
      <c r="C100" s="76"/>
      <c r="D100" s="79"/>
      <c r="E100" s="79"/>
      <c r="F100" s="55"/>
      <c r="G100" s="55"/>
      <c r="H100" s="55"/>
      <c r="I100" s="86"/>
      <c r="J100" s="6">
        <v>1</v>
      </c>
      <c r="K100" s="58"/>
      <c r="L100" s="61"/>
    </row>
    <row r="101" spans="1:25" x14ac:dyDescent="0.25">
      <c r="A101" s="73"/>
      <c r="B101" s="55"/>
      <c r="C101" s="76"/>
      <c r="D101" s="79"/>
      <c r="E101" s="79"/>
      <c r="F101" s="55"/>
      <c r="G101" s="55"/>
      <c r="H101" s="55"/>
      <c r="I101" s="86"/>
      <c r="J101" s="6">
        <v>1</v>
      </c>
      <c r="K101" s="58"/>
      <c r="L101" s="61"/>
    </row>
    <row r="102" spans="1:25" ht="17.25" thickBot="1" x14ac:dyDescent="0.3">
      <c r="A102" s="74"/>
      <c r="B102" s="56"/>
      <c r="C102" s="77"/>
      <c r="D102" s="80"/>
      <c r="E102" s="80"/>
      <c r="F102" s="56"/>
      <c r="G102" s="56"/>
      <c r="H102" s="56"/>
      <c r="I102" s="87"/>
      <c r="J102" s="7">
        <v>3</v>
      </c>
      <c r="K102" s="59"/>
      <c r="L102" s="62"/>
      <c r="N102" t="str">
        <f t="shared" si="37"/>
        <v> 4</v>
      </c>
      <c r="O102">
        <f t="shared" si="38"/>
        <v>1</v>
      </c>
      <c r="P102" t="str">
        <f t="shared" si="39"/>
        <v>星願無限 (L267)</v>
      </c>
      <c r="Q102" t="str">
        <f t="shared" si="40"/>
        <v>希威森</v>
      </c>
      <c r="R102" t="str">
        <f t="shared" si="41"/>
        <v>沈集成</v>
      </c>
      <c r="S102">
        <f t="shared" si="42"/>
        <v>135</v>
      </c>
      <c r="T102">
        <f t="shared" si="43"/>
        <v>1018</v>
      </c>
      <c r="U102">
        <f t="shared" si="44"/>
        <v>11</v>
      </c>
      <c r="V102">
        <f t="shared" si="45"/>
        <v>37257</v>
      </c>
      <c r="W102" t="str">
        <f t="shared" si="46"/>
        <v>10,10,8,4</v>
      </c>
      <c r="X102" t="str">
        <f t="shared" si="47"/>
        <v>01:39.8</v>
      </c>
      <c r="Y102">
        <f t="shared" si="48"/>
        <v>32</v>
      </c>
    </row>
    <row r="103" spans="1:25" x14ac:dyDescent="0.25">
      <c r="A103" s="97" t="s">
        <v>84</v>
      </c>
      <c r="B103" s="42">
        <v>1</v>
      </c>
      <c r="C103" s="66" t="s">
        <v>85</v>
      </c>
      <c r="D103" s="69" t="s">
        <v>30</v>
      </c>
      <c r="E103" s="69" t="s">
        <v>60</v>
      </c>
      <c r="F103" s="42">
        <v>135</v>
      </c>
      <c r="G103" s="42">
        <v>1018</v>
      </c>
      <c r="H103" s="42">
        <v>11</v>
      </c>
      <c r="I103" s="45">
        <v>37257</v>
      </c>
      <c r="J103" s="8">
        <v>10</v>
      </c>
      <c r="K103" s="48">
        <v>1.154513888888889E-3</v>
      </c>
      <c r="L103" s="51">
        <v>32</v>
      </c>
    </row>
    <row r="104" spans="1:25" x14ac:dyDescent="0.25">
      <c r="A104" s="98"/>
      <c r="B104" s="43"/>
      <c r="C104" s="67"/>
      <c r="D104" s="70"/>
      <c r="E104" s="70"/>
      <c r="F104" s="43"/>
      <c r="G104" s="43"/>
      <c r="H104" s="43"/>
      <c r="I104" s="46"/>
      <c r="J104" s="9">
        <v>10</v>
      </c>
      <c r="K104" s="49"/>
      <c r="L104" s="52"/>
    </row>
    <row r="105" spans="1:25" x14ac:dyDescent="0.25">
      <c r="A105" s="98"/>
      <c r="B105" s="43"/>
      <c r="C105" s="67"/>
      <c r="D105" s="70"/>
      <c r="E105" s="70"/>
      <c r="F105" s="43"/>
      <c r="G105" s="43"/>
      <c r="H105" s="43"/>
      <c r="I105" s="46"/>
      <c r="J105" s="9">
        <v>8</v>
      </c>
      <c r="K105" s="49"/>
      <c r="L105" s="52"/>
    </row>
    <row r="106" spans="1:25" ht="17.25" thickBot="1" x14ac:dyDescent="0.3">
      <c r="A106" s="99"/>
      <c r="B106" s="81"/>
      <c r="C106" s="89"/>
      <c r="D106" s="90"/>
      <c r="E106" s="90"/>
      <c r="F106" s="81"/>
      <c r="G106" s="81"/>
      <c r="H106" s="81"/>
      <c r="I106" s="82"/>
      <c r="J106" s="10">
        <v>4</v>
      </c>
      <c r="K106" s="83"/>
      <c r="L106" s="84"/>
      <c r="N106">
        <f t="shared" si="37"/>
        <v>5</v>
      </c>
      <c r="O106">
        <f t="shared" si="38"/>
        <v>7</v>
      </c>
      <c r="P106" t="str">
        <f t="shared" si="39"/>
        <v>有情有義 (K416)</v>
      </c>
      <c r="Q106" t="str">
        <f t="shared" si="40"/>
        <v>黃智弘</v>
      </c>
      <c r="R106" t="str">
        <f t="shared" si="41"/>
        <v>方嘉柏</v>
      </c>
      <c r="S106">
        <f t="shared" si="42"/>
        <v>124</v>
      </c>
      <c r="T106">
        <f t="shared" si="43"/>
        <v>1173</v>
      </c>
      <c r="U106">
        <f t="shared" si="44"/>
        <v>4</v>
      </c>
      <c r="V106">
        <f t="shared" si="45"/>
        <v>37257</v>
      </c>
      <c r="W106" t="str">
        <f t="shared" si="46"/>
        <v>8,7,7,5</v>
      </c>
      <c r="X106" t="str">
        <f t="shared" si="47"/>
        <v>01:39.8</v>
      </c>
      <c r="Y106">
        <f t="shared" si="48"/>
        <v>6.8</v>
      </c>
    </row>
    <row r="107" spans="1:25" x14ac:dyDescent="0.25">
      <c r="A107" s="72">
        <v>5</v>
      </c>
      <c r="B107" s="54">
        <v>7</v>
      </c>
      <c r="C107" s="75" t="s">
        <v>86</v>
      </c>
      <c r="D107" s="78" t="s">
        <v>80</v>
      </c>
      <c r="E107" s="78" t="s">
        <v>37</v>
      </c>
      <c r="F107" s="54">
        <v>124</v>
      </c>
      <c r="G107" s="54">
        <v>1173</v>
      </c>
      <c r="H107" s="54">
        <v>4</v>
      </c>
      <c r="I107" s="85">
        <v>37257</v>
      </c>
      <c r="J107" s="5">
        <v>8</v>
      </c>
      <c r="K107" s="57">
        <v>1.1546296296296296E-3</v>
      </c>
      <c r="L107" s="60">
        <v>6.8</v>
      </c>
    </row>
    <row r="108" spans="1:25" x14ac:dyDescent="0.25">
      <c r="A108" s="73"/>
      <c r="B108" s="55"/>
      <c r="C108" s="76"/>
      <c r="D108" s="79"/>
      <c r="E108" s="79"/>
      <c r="F108" s="55"/>
      <c r="G108" s="55"/>
      <c r="H108" s="55"/>
      <c r="I108" s="86"/>
      <c r="J108" s="6">
        <v>7</v>
      </c>
      <c r="K108" s="58"/>
      <c r="L108" s="61"/>
    </row>
    <row r="109" spans="1:25" x14ac:dyDescent="0.25">
      <c r="A109" s="73"/>
      <c r="B109" s="55"/>
      <c r="C109" s="76"/>
      <c r="D109" s="79"/>
      <c r="E109" s="79"/>
      <c r="F109" s="55"/>
      <c r="G109" s="55"/>
      <c r="H109" s="55"/>
      <c r="I109" s="86"/>
      <c r="J109" s="6">
        <v>7</v>
      </c>
      <c r="K109" s="58"/>
      <c r="L109" s="61"/>
    </row>
    <row r="110" spans="1:25" ht="17.25" thickBot="1" x14ac:dyDescent="0.3">
      <c r="A110" s="74"/>
      <c r="B110" s="56"/>
      <c r="C110" s="77"/>
      <c r="D110" s="80"/>
      <c r="E110" s="80"/>
      <c r="F110" s="56"/>
      <c r="G110" s="56"/>
      <c r="H110" s="56"/>
      <c r="I110" s="87"/>
      <c r="J110" s="7">
        <v>5</v>
      </c>
      <c r="K110" s="59"/>
      <c r="L110" s="62"/>
      <c r="N110">
        <f t="shared" ref="N109:N172" si="49">A111</f>
        <v>6</v>
      </c>
      <c r="O110">
        <f t="shared" ref="O109:O172" si="50">B111</f>
        <v>5</v>
      </c>
      <c r="P110" t="str">
        <f t="shared" ref="P109:P172" si="51">C111</f>
        <v>凝妙星 (K444)</v>
      </c>
      <c r="Q110" t="str">
        <f t="shared" ref="Q109:Q172" si="52">D111</f>
        <v>奧爾民</v>
      </c>
      <c r="R110" t="str">
        <f t="shared" ref="R109:R172" si="53">E111</f>
        <v>大衛希斯</v>
      </c>
      <c r="S110">
        <f t="shared" ref="S109:S172" si="54">F111</f>
        <v>128</v>
      </c>
      <c r="T110">
        <f t="shared" ref="T109:T172" si="55">G111</f>
        <v>1111</v>
      </c>
      <c r="U110">
        <f t="shared" ref="U109:U172" si="56">H111</f>
        <v>3</v>
      </c>
      <c r="V110">
        <f t="shared" ref="V109:V172" si="57">I111</f>
        <v>37988</v>
      </c>
      <c r="W110" t="str">
        <f t="shared" ref="W109:W172" si="58">J111&amp;","&amp;J112&amp;","&amp;J113&amp;","&amp;J114</f>
        <v>4,5,5,6</v>
      </c>
      <c r="X110" t="str">
        <f t="shared" ref="X109:X172" si="59">TEXT(K111, "mm:ss.0")</f>
        <v>01:39.9</v>
      </c>
      <c r="Y110">
        <f t="shared" ref="Y109:Y172" si="60">L111</f>
        <v>2.7</v>
      </c>
    </row>
    <row r="111" spans="1:25" x14ac:dyDescent="0.25">
      <c r="A111" s="63">
        <v>6</v>
      </c>
      <c r="B111" s="42">
        <v>5</v>
      </c>
      <c r="C111" s="66" t="s">
        <v>87</v>
      </c>
      <c r="D111" s="69" t="s">
        <v>51</v>
      </c>
      <c r="E111" s="69" t="s">
        <v>24</v>
      </c>
      <c r="F111" s="42">
        <v>128</v>
      </c>
      <c r="G111" s="42">
        <v>1111</v>
      </c>
      <c r="H111" s="42">
        <v>3</v>
      </c>
      <c r="I111" s="45">
        <v>37988</v>
      </c>
      <c r="J111" s="8">
        <v>4</v>
      </c>
      <c r="K111" s="48">
        <v>1.1561342592592593E-3</v>
      </c>
      <c r="L111" s="51">
        <v>2.7</v>
      </c>
    </row>
    <row r="112" spans="1:25" x14ac:dyDescent="0.25">
      <c r="A112" s="64"/>
      <c r="B112" s="43"/>
      <c r="C112" s="67"/>
      <c r="D112" s="70"/>
      <c r="E112" s="70"/>
      <c r="F112" s="43"/>
      <c r="G112" s="43"/>
      <c r="H112" s="43"/>
      <c r="I112" s="46"/>
      <c r="J112" s="9">
        <v>5</v>
      </c>
      <c r="K112" s="49"/>
      <c r="L112" s="52"/>
    </row>
    <row r="113" spans="1:25" x14ac:dyDescent="0.25">
      <c r="A113" s="64"/>
      <c r="B113" s="43"/>
      <c r="C113" s="67"/>
      <c r="D113" s="70"/>
      <c r="E113" s="70"/>
      <c r="F113" s="43"/>
      <c r="G113" s="43"/>
      <c r="H113" s="43"/>
      <c r="I113" s="46"/>
      <c r="J113" s="9">
        <v>5</v>
      </c>
      <c r="K113" s="49"/>
      <c r="L113" s="52"/>
    </row>
    <row r="114" spans="1:25" ht="17.25" thickBot="1" x14ac:dyDescent="0.3">
      <c r="A114" s="88"/>
      <c r="B114" s="81"/>
      <c r="C114" s="89"/>
      <c r="D114" s="90"/>
      <c r="E114" s="90"/>
      <c r="F114" s="81"/>
      <c r="G114" s="81"/>
      <c r="H114" s="81"/>
      <c r="I114" s="82"/>
      <c r="J114" s="10">
        <v>6</v>
      </c>
      <c r="K114" s="83"/>
      <c r="L114" s="84"/>
      <c r="N114">
        <f t="shared" si="49"/>
        <v>7</v>
      </c>
      <c r="O114">
        <f t="shared" si="50"/>
        <v>6</v>
      </c>
      <c r="P114" t="str">
        <f t="shared" si="51"/>
        <v>領航天子 (J494)</v>
      </c>
      <c r="Q114" t="str">
        <f t="shared" si="52"/>
        <v>霍宏聲</v>
      </c>
      <c r="R114" t="str">
        <f t="shared" si="53"/>
        <v>廖康銘</v>
      </c>
      <c r="S114">
        <f t="shared" si="54"/>
        <v>128</v>
      </c>
      <c r="T114">
        <f t="shared" si="55"/>
        <v>970</v>
      </c>
      <c r="U114">
        <f t="shared" si="56"/>
        <v>10</v>
      </c>
      <c r="V114">
        <f t="shared" si="57"/>
        <v>37989</v>
      </c>
      <c r="W114" t="str">
        <f t="shared" si="58"/>
        <v>9,9,10,7</v>
      </c>
      <c r="X114" t="str">
        <f t="shared" si="59"/>
        <v>01:40.0</v>
      </c>
      <c r="Y114">
        <f t="shared" si="60"/>
        <v>17</v>
      </c>
    </row>
    <row r="115" spans="1:25" x14ac:dyDescent="0.25">
      <c r="A115" s="72">
        <v>7</v>
      </c>
      <c r="B115" s="54">
        <v>6</v>
      </c>
      <c r="C115" s="75" t="s">
        <v>88</v>
      </c>
      <c r="D115" s="78" t="s">
        <v>33</v>
      </c>
      <c r="E115" s="78" t="s">
        <v>34</v>
      </c>
      <c r="F115" s="54">
        <v>128</v>
      </c>
      <c r="G115" s="54">
        <v>970</v>
      </c>
      <c r="H115" s="54">
        <v>10</v>
      </c>
      <c r="I115" s="85">
        <v>37989</v>
      </c>
      <c r="J115" s="5">
        <v>9</v>
      </c>
      <c r="K115" s="57">
        <v>1.1577546296296297E-3</v>
      </c>
      <c r="L115" s="60">
        <v>17</v>
      </c>
    </row>
    <row r="116" spans="1:25" x14ac:dyDescent="0.25">
      <c r="A116" s="73"/>
      <c r="B116" s="55"/>
      <c r="C116" s="76"/>
      <c r="D116" s="79"/>
      <c r="E116" s="79"/>
      <c r="F116" s="55"/>
      <c r="G116" s="55"/>
      <c r="H116" s="55"/>
      <c r="I116" s="86"/>
      <c r="J116" s="6">
        <v>9</v>
      </c>
      <c r="K116" s="58"/>
      <c r="L116" s="61"/>
    </row>
    <row r="117" spans="1:25" x14ac:dyDescent="0.25">
      <c r="A117" s="73"/>
      <c r="B117" s="55"/>
      <c r="C117" s="76"/>
      <c r="D117" s="79"/>
      <c r="E117" s="79"/>
      <c r="F117" s="55"/>
      <c r="G117" s="55"/>
      <c r="H117" s="55"/>
      <c r="I117" s="86"/>
      <c r="J117" s="6">
        <v>10</v>
      </c>
      <c r="K117" s="58"/>
      <c r="L117" s="61"/>
    </row>
    <row r="118" spans="1:25" ht="17.25" thickBot="1" x14ac:dyDescent="0.3">
      <c r="A118" s="74"/>
      <c r="B118" s="56"/>
      <c r="C118" s="77"/>
      <c r="D118" s="80"/>
      <c r="E118" s="80"/>
      <c r="F118" s="56"/>
      <c r="G118" s="56"/>
      <c r="H118" s="56"/>
      <c r="I118" s="87"/>
      <c r="J118" s="7">
        <v>7</v>
      </c>
      <c r="K118" s="59"/>
      <c r="L118" s="62"/>
      <c r="N118">
        <f t="shared" si="49"/>
        <v>8</v>
      </c>
      <c r="O118">
        <f t="shared" si="50"/>
        <v>4</v>
      </c>
      <c r="P118" t="str">
        <f t="shared" si="51"/>
        <v>睿智多寶 (L044)</v>
      </c>
      <c r="Q118" t="str">
        <f t="shared" si="52"/>
        <v>艾道拿</v>
      </c>
      <c r="R118" t="str">
        <f t="shared" si="53"/>
        <v>黎昭昇</v>
      </c>
      <c r="S118">
        <f t="shared" si="54"/>
        <v>129</v>
      </c>
      <c r="T118">
        <f t="shared" si="55"/>
        <v>1255</v>
      </c>
      <c r="U118">
        <f t="shared" si="56"/>
        <v>6</v>
      </c>
      <c r="V118">
        <f t="shared" si="57"/>
        <v>37260</v>
      </c>
      <c r="W118" t="str">
        <f t="shared" si="58"/>
        <v>2,2,2,8</v>
      </c>
      <c r="X118" t="str">
        <f t="shared" si="59"/>
        <v>01:40.2</v>
      </c>
      <c r="Y118">
        <f t="shared" si="60"/>
        <v>15</v>
      </c>
    </row>
    <row r="119" spans="1:25" x14ac:dyDescent="0.25">
      <c r="A119" s="63">
        <v>8</v>
      </c>
      <c r="B119" s="42">
        <v>4</v>
      </c>
      <c r="C119" s="66" t="s">
        <v>89</v>
      </c>
      <c r="D119" s="69" t="s">
        <v>63</v>
      </c>
      <c r="E119" s="69" t="s">
        <v>52</v>
      </c>
      <c r="F119" s="42">
        <v>129</v>
      </c>
      <c r="G119" s="42">
        <v>1255</v>
      </c>
      <c r="H119" s="42">
        <v>6</v>
      </c>
      <c r="I119" s="45">
        <v>37260</v>
      </c>
      <c r="J119" s="8">
        <v>2</v>
      </c>
      <c r="K119" s="48">
        <v>1.1600694444444443E-3</v>
      </c>
      <c r="L119" s="51">
        <v>15</v>
      </c>
    </row>
    <row r="120" spans="1:25" x14ac:dyDescent="0.25">
      <c r="A120" s="64"/>
      <c r="B120" s="43"/>
      <c r="C120" s="67"/>
      <c r="D120" s="70"/>
      <c r="E120" s="70"/>
      <c r="F120" s="43"/>
      <c r="G120" s="43"/>
      <c r="H120" s="43"/>
      <c r="I120" s="46"/>
      <c r="J120" s="9">
        <v>2</v>
      </c>
      <c r="K120" s="49"/>
      <c r="L120" s="52"/>
    </row>
    <row r="121" spans="1:25" x14ac:dyDescent="0.25">
      <c r="A121" s="64"/>
      <c r="B121" s="43"/>
      <c r="C121" s="67"/>
      <c r="D121" s="70"/>
      <c r="E121" s="70"/>
      <c r="F121" s="43"/>
      <c r="G121" s="43"/>
      <c r="H121" s="43"/>
      <c r="I121" s="46"/>
      <c r="J121" s="9">
        <v>2</v>
      </c>
      <c r="K121" s="49"/>
      <c r="L121" s="52"/>
    </row>
    <row r="122" spans="1:25" ht="17.25" thickBot="1" x14ac:dyDescent="0.3">
      <c r="A122" s="88"/>
      <c r="B122" s="81"/>
      <c r="C122" s="89"/>
      <c r="D122" s="90"/>
      <c r="E122" s="90"/>
      <c r="F122" s="81"/>
      <c r="G122" s="81"/>
      <c r="H122" s="81"/>
      <c r="I122" s="82"/>
      <c r="J122" s="10">
        <v>8</v>
      </c>
      <c r="K122" s="83"/>
      <c r="L122" s="84"/>
      <c r="N122">
        <f t="shared" si="49"/>
        <v>9</v>
      </c>
      <c r="O122">
        <f t="shared" si="50"/>
        <v>10</v>
      </c>
      <c r="P122" t="str">
        <f t="shared" si="51"/>
        <v>加州活力 (J131)</v>
      </c>
      <c r="Q122" t="str">
        <f t="shared" si="52"/>
        <v>艾兆禮</v>
      </c>
      <c r="R122" t="str">
        <f t="shared" si="53"/>
        <v>告東尼</v>
      </c>
      <c r="S122">
        <f t="shared" si="54"/>
        <v>131</v>
      </c>
      <c r="T122">
        <f t="shared" si="55"/>
        <v>1188</v>
      </c>
      <c r="U122">
        <f t="shared" si="56"/>
        <v>8</v>
      </c>
      <c r="V122">
        <f t="shared" si="57"/>
        <v>37261</v>
      </c>
      <c r="W122" t="str">
        <f t="shared" si="58"/>
        <v>11,11,11,9</v>
      </c>
      <c r="X122" t="str">
        <f t="shared" si="59"/>
        <v>01:40.4</v>
      </c>
      <c r="Y122">
        <f t="shared" si="60"/>
        <v>35</v>
      </c>
    </row>
    <row r="123" spans="1:25" x14ac:dyDescent="0.25">
      <c r="A123" s="72">
        <v>9</v>
      </c>
      <c r="B123" s="54">
        <v>10</v>
      </c>
      <c r="C123" s="75" t="s">
        <v>90</v>
      </c>
      <c r="D123" s="78" t="s">
        <v>39</v>
      </c>
      <c r="E123" s="78" t="s">
        <v>66</v>
      </c>
      <c r="F123" s="54">
        <v>131</v>
      </c>
      <c r="G123" s="54">
        <v>1188</v>
      </c>
      <c r="H123" s="54">
        <v>8</v>
      </c>
      <c r="I123" s="85">
        <v>37261</v>
      </c>
      <c r="J123" s="5">
        <v>11</v>
      </c>
      <c r="K123" s="57">
        <v>1.1621527777777778E-3</v>
      </c>
      <c r="L123" s="60">
        <v>35</v>
      </c>
    </row>
    <row r="124" spans="1:25" x14ac:dyDescent="0.25">
      <c r="A124" s="73"/>
      <c r="B124" s="55"/>
      <c r="C124" s="76"/>
      <c r="D124" s="79"/>
      <c r="E124" s="79"/>
      <c r="F124" s="55"/>
      <c r="G124" s="55"/>
      <c r="H124" s="55"/>
      <c r="I124" s="86"/>
      <c r="J124" s="6">
        <v>11</v>
      </c>
      <c r="K124" s="58"/>
      <c r="L124" s="61"/>
    </row>
    <row r="125" spans="1:25" x14ac:dyDescent="0.25">
      <c r="A125" s="73"/>
      <c r="B125" s="55"/>
      <c r="C125" s="76"/>
      <c r="D125" s="79"/>
      <c r="E125" s="79"/>
      <c r="F125" s="55"/>
      <c r="G125" s="55"/>
      <c r="H125" s="55"/>
      <c r="I125" s="86"/>
      <c r="J125" s="6">
        <v>11</v>
      </c>
      <c r="K125" s="58"/>
      <c r="L125" s="61"/>
    </row>
    <row r="126" spans="1:25" ht="17.25" thickBot="1" x14ac:dyDescent="0.3">
      <c r="A126" s="74"/>
      <c r="B126" s="56"/>
      <c r="C126" s="77"/>
      <c r="D126" s="80"/>
      <c r="E126" s="80"/>
      <c r="F126" s="56"/>
      <c r="G126" s="56"/>
      <c r="H126" s="56"/>
      <c r="I126" s="87"/>
      <c r="J126" s="7">
        <v>9</v>
      </c>
      <c r="K126" s="59"/>
      <c r="L126" s="62"/>
      <c r="N126">
        <f t="shared" si="49"/>
        <v>10</v>
      </c>
      <c r="O126">
        <f t="shared" si="50"/>
        <v>3</v>
      </c>
      <c r="P126" t="str">
        <f t="shared" si="51"/>
        <v>彩虹七色 (K145)</v>
      </c>
      <c r="Q126" t="str">
        <f t="shared" si="52"/>
        <v>何澤堯</v>
      </c>
      <c r="R126" t="str">
        <f t="shared" si="53"/>
        <v>呂健威</v>
      </c>
      <c r="S126">
        <f t="shared" si="54"/>
        <v>130</v>
      </c>
      <c r="T126">
        <f t="shared" si="55"/>
        <v>1071</v>
      </c>
      <c r="U126">
        <f t="shared" si="56"/>
        <v>5</v>
      </c>
      <c r="V126">
        <f t="shared" si="57"/>
        <v>37261</v>
      </c>
      <c r="W126" t="str">
        <f t="shared" si="58"/>
        <v>7,8,9,10</v>
      </c>
      <c r="X126" t="str">
        <f t="shared" si="59"/>
        <v>01:40.4</v>
      </c>
      <c r="Y126">
        <f t="shared" si="60"/>
        <v>43</v>
      </c>
    </row>
    <row r="127" spans="1:25" x14ac:dyDescent="0.25">
      <c r="A127" s="63">
        <v>10</v>
      </c>
      <c r="B127" s="42">
        <v>3</v>
      </c>
      <c r="C127" s="66" t="s">
        <v>91</v>
      </c>
      <c r="D127" s="69" t="s">
        <v>36</v>
      </c>
      <c r="E127" s="69" t="s">
        <v>92</v>
      </c>
      <c r="F127" s="42">
        <v>130</v>
      </c>
      <c r="G127" s="42">
        <v>1071</v>
      </c>
      <c r="H127" s="42">
        <v>5</v>
      </c>
      <c r="I127" s="45">
        <v>37261</v>
      </c>
      <c r="J127" s="8">
        <v>7</v>
      </c>
      <c r="K127" s="48">
        <v>1.1621527777777778E-3</v>
      </c>
      <c r="L127" s="51">
        <v>43</v>
      </c>
    </row>
    <row r="128" spans="1:25" x14ac:dyDescent="0.25">
      <c r="A128" s="64"/>
      <c r="B128" s="43"/>
      <c r="C128" s="67"/>
      <c r="D128" s="70"/>
      <c r="E128" s="70"/>
      <c r="F128" s="43"/>
      <c r="G128" s="43"/>
      <c r="H128" s="43"/>
      <c r="I128" s="46"/>
      <c r="J128" s="9">
        <v>8</v>
      </c>
      <c r="K128" s="49"/>
      <c r="L128" s="52"/>
    </row>
    <row r="129" spans="1:25" x14ac:dyDescent="0.25">
      <c r="A129" s="64"/>
      <c r="B129" s="43"/>
      <c r="C129" s="67"/>
      <c r="D129" s="70"/>
      <c r="E129" s="70"/>
      <c r="F129" s="43"/>
      <c r="G129" s="43"/>
      <c r="H129" s="43"/>
      <c r="I129" s="46"/>
      <c r="J129" s="9">
        <v>9</v>
      </c>
      <c r="K129" s="49"/>
      <c r="L129" s="52"/>
    </row>
    <row r="130" spans="1:25" ht="17.25" thickBot="1" x14ac:dyDescent="0.3">
      <c r="A130" s="88"/>
      <c r="B130" s="81"/>
      <c r="C130" s="89"/>
      <c r="D130" s="90"/>
      <c r="E130" s="90"/>
      <c r="F130" s="81"/>
      <c r="G130" s="81"/>
      <c r="H130" s="81"/>
      <c r="I130" s="82"/>
      <c r="J130" s="10">
        <v>10</v>
      </c>
      <c r="K130" s="83"/>
      <c r="L130" s="84"/>
      <c r="N130">
        <f t="shared" si="49"/>
        <v>11</v>
      </c>
      <c r="O130">
        <f t="shared" si="50"/>
        <v>9</v>
      </c>
      <c r="P130" t="str">
        <f t="shared" si="51"/>
        <v>越駿齊歡 (L079)</v>
      </c>
      <c r="Q130" t="str">
        <f t="shared" si="52"/>
        <v>梁家俊</v>
      </c>
      <c r="R130" t="str">
        <f t="shared" si="53"/>
        <v>羅富全</v>
      </c>
      <c r="S130">
        <f t="shared" si="54"/>
        <v>124</v>
      </c>
      <c r="T130">
        <f t="shared" si="55"/>
        <v>1093</v>
      </c>
      <c r="U130">
        <f t="shared" si="56"/>
        <v>1</v>
      </c>
      <c r="V130">
        <f t="shared" si="57"/>
        <v>8</v>
      </c>
      <c r="W130" t="str">
        <f t="shared" si="58"/>
        <v>5,4,3,11</v>
      </c>
      <c r="X130" t="str">
        <f t="shared" si="59"/>
        <v>01:40.8</v>
      </c>
      <c r="Y130">
        <f t="shared" si="60"/>
        <v>15</v>
      </c>
    </row>
    <row r="131" spans="1:25" x14ac:dyDescent="0.25">
      <c r="A131" s="72">
        <v>11</v>
      </c>
      <c r="B131" s="54">
        <v>9</v>
      </c>
      <c r="C131" s="75" t="s">
        <v>93</v>
      </c>
      <c r="D131" s="78" t="s">
        <v>48</v>
      </c>
      <c r="E131" s="78" t="s">
        <v>74</v>
      </c>
      <c r="F131" s="54">
        <v>124</v>
      </c>
      <c r="G131" s="54">
        <v>1093</v>
      </c>
      <c r="H131" s="54">
        <v>1</v>
      </c>
      <c r="I131" s="54">
        <v>8</v>
      </c>
      <c r="J131" s="5">
        <v>5</v>
      </c>
      <c r="K131" s="57">
        <v>1.166898148148148E-3</v>
      </c>
      <c r="L131" s="60">
        <v>15</v>
      </c>
    </row>
    <row r="132" spans="1:25" x14ac:dyDescent="0.25">
      <c r="A132" s="73"/>
      <c r="B132" s="55"/>
      <c r="C132" s="76"/>
      <c r="D132" s="79"/>
      <c r="E132" s="79"/>
      <c r="F132" s="55"/>
      <c r="G132" s="55"/>
      <c r="H132" s="55"/>
      <c r="I132" s="55"/>
      <c r="J132" s="6">
        <v>4</v>
      </c>
      <c r="K132" s="58"/>
      <c r="L132" s="61"/>
    </row>
    <row r="133" spans="1:25" x14ac:dyDescent="0.25">
      <c r="A133" s="73"/>
      <c r="B133" s="55"/>
      <c r="C133" s="76"/>
      <c r="D133" s="79"/>
      <c r="E133" s="79"/>
      <c r="F133" s="55"/>
      <c r="G133" s="55"/>
      <c r="H133" s="55"/>
      <c r="I133" s="55"/>
      <c r="J133" s="6">
        <v>3</v>
      </c>
      <c r="K133" s="58"/>
      <c r="L133" s="61"/>
    </row>
    <row r="134" spans="1:25" ht="17.25" thickBot="1" x14ac:dyDescent="0.3">
      <c r="A134" s="74"/>
      <c r="B134" s="56"/>
      <c r="C134" s="77"/>
      <c r="D134" s="80"/>
      <c r="E134" s="80"/>
      <c r="F134" s="56"/>
      <c r="G134" s="56"/>
      <c r="H134" s="56"/>
      <c r="I134" s="56"/>
      <c r="J134" s="7">
        <v>11</v>
      </c>
      <c r="K134" s="59"/>
      <c r="L134" s="62"/>
      <c r="N134">
        <f t="shared" si="49"/>
        <v>12</v>
      </c>
      <c r="O134">
        <f t="shared" si="50"/>
        <v>11</v>
      </c>
      <c r="P134" t="str">
        <f t="shared" si="51"/>
        <v>光明傳承 (J215)</v>
      </c>
      <c r="Q134" t="str">
        <f t="shared" si="52"/>
        <v>班德禮</v>
      </c>
      <c r="R134" t="str">
        <f t="shared" si="53"/>
        <v>葉楚航</v>
      </c>
      <c r="S134">
        <f t="shared" si="54"/>
        <v>119</v>
      </c>
      <c r="T134">
        <f t="shared" si="55"/>
        <v>1104</v>
      </c>
      <c r="U134">
        <f t="shared" si="56"/>
        <v>9</v>
      </c>
      <c r="V134">
        <f t="shared" si="57"/>
        <v>10</v>
      </c>
      <c r="W134" t="str">
        <f t="shared" si="58"/>
        <v>12,12,12,12</v>
      </c>
      <c r="X134" t="str">
        <f t="shared" si="59"/>
        <v>01:41.1</v>
      </c>
      <c r="Y134">
        <f t="shared" si="60"/>
        <v>65</v>
      </c>
    </row>
    <row r="135" spans="1:25" x14ac:dyDescent="0.25">
      <c r="A135" s="63">
        <v>12</v>
      </c>
      <c r="B135" s="42">
        <v>11</v>
      </c>
      <c r="C135" s="66" t="s">
        <v>94</v>
      </c>
      <c r="D135" s="69" t="s">
        <v>68</v>
      </c>
      <c r="E135" s="69" t="s">
        <v>95</v>
      </c>
      <c r="F135" s="42">
        <v>119</v>
      </c>
      <c r="G135" s="42">
        <v>1104</v>
      </c>
      <c r="H135" s="42">
        <v>9</v>
      </c>
      <c r="I135" s="42">
        <v>10</v>
      </c>
      <c r="J135" s="8">
        <v>12</v>
      </c>
      <c r="K135" s="48">
        <v>1.1704861111111111E-3</v>
      </c>
      <c r="L135" s="51">
        <v>65</v>
      </c>
    </row>
    <row r="136" spans="1:25" x14ac:dyDescent="0.25">
      <c r="A136" s="64"/>
      <c r="B136" s="43"/>
      <c r="C136" s="67"/>
      <c r="D136" s="70"/>
      <c r="E136" s="70"/>
      <c r="F136" s="43"/>
      <c r="G136" s="43"/>
      <c r="H136" s="43"/>
      <c r="I136" s="43"/>
      <c r="J136" s="9">
        <v>12</v>
      </c>
      <c r="K136" s="49"/>
      <c r="L136" s="52"/>
    </row>
    <row r="137" spans="1:25" x14ac:dyDescent="0.25">
      <c r="A137" s="64"/>
      <c r="B137" s="43"/>
      <c r="C137" s="67"/>
      <c r="D137" s="70"/>
      <c r="E137" s="70"/>
      <c r="F137" s="43"/>
      <c r="G137" s="43"/>
      <c r="H137" s="43"/>
      <c r="I137" s="43"/>
      <c r="J137" s="9">
        <v>12</v>
      </c>
      <c r="K137" s="49"/>
      <c r="L137" s="52"/>
    </row>
    <row r="138" spans="1:25" ht="17.25" thickBot="1" x14ac:dyDescent="0.3">
      <c r="A138" s="88"/>
      <c r="B138" s="81"/>
      <c r="C138" s="89"/>
      <c r="D138" s="90"/>
      <c r="E138" s="90"/>
      <c r="F138" s="81"/>
      <c r="G138" s="81"/>
      <c r="H138" s="81"/>
      <c r="I138" s="81"/>
      <c r="J138" s="10">
        <v>12</v>
      </c>
      <c r="K138" s="83"/>
      <c r="L138" s="84"/>
      <c r="N138" t="str">
        <f t="shared" si="49"/>
        <v>WV</v>
      </c>
      <c r="O138">
        <f t="shared" si="50"/>
        <v>0</v>
      </c>
      <c r="P138" t="str">
        <f t="shared" si="51"/>
        <v>家傳之寶 (K490)</v>
      </c>
      <c r="Q138" t="str">
        <f t="shared" si="52"/>
        <v>楊明綸</v>
      </c>
      <c r="R138" t="str">
        <f t="shared" si="53"/>
        <v>韋達</v>
      </c>
      <c r="S138">
        <f t="shared" si="54"/>
        <v>120</v>
      </c>
      <c r="T138" t="str">
        <f t="shared" si="55"/>
        <v>---</v>
      </c>
      <c r="U138" t="str">
        <f t="shared" si="56"/>
        <v>---</v>
      </c>
      <c r="V138" t="str">
        <f t="shared" si="57"/>
        <v>---</v>
      </c>
      <c r="W138" t="str">
        <f t="shared" si="58"/>
        <v>---,沿途,走位,6</v>
      </c>
      <c r="X138" t="str">
        <f t="shared" si="59"/>
        <v>---</v>
      </c>
      <c r="Y138" t="str">
        <f t="shared" si="60"/>
        <v>---</v>
      </c>
    </row>
    <row r="139" spans="1:25" ht="17.25" thickBot="1" x14ac:dyDescent="0.3">
      <c r="A139" s="12" t="s">
        <v>96</v>
      </c>
      <c r="B139" s="13"/>
      <c r="C139" s="14" t="s">
        <v>97</v>
      </c>
      <c r="D139" s="15" t="s">
        <v>42</v>
      </c>
      <c r="E139" s="15" t="s">
        <v>49</v>
      </c>
      <c r="F139" s="13">
        <v>120</v>
      </c>
      <c r="G139" s="13" t="s">
        <v>21</v>
      </c>
      <c r="H139" s="13" t="s">
        <v>21</v>
      </c>
      <c r="I139" s="13" t="s">
        <v>21</v>
      </c>
      <c r="J139" s="13" t="s">
        <v>21</v>
      </c>
      <c r="K139" s="13" t="s">
        <v>21</v>
      </c>
      <c r="L139" s="16" t="s">
        <v>21</v>
      </c>
      <c r="N139" t="str">
        <f t="shared" si="49"/>
        <v>次</v>
      </c>
      <c r="O139" t="str">
        <f t="shared" si="50"/>
        <v>馬號</v>
      </c>
      <c r="P139" t="str">
        <f t="shared" si="51"/>
        <v>馬名</v>
      </c>
      <c r="Q139" t="str">
        <f t="shared" si="52"/>
        <v>騎師</v>
      </c>
      <c r="R139" t="str">
        <f t="shared" si="53"/>
        <v>練馬師</v>
      </c>
      <c r="S139" t="str">
        <f t="shared" si="54"/>
        <v>實際</v>
      </c>
      <c r="T139" t="str">
        <f t="shared" si="55"/>
        <v>排位</v>
      </c>
      <c r="U139" t="str">
        <f t="shared" si="56"/>
        <v>檔位</v>
      </c>
      <c r="V139" t="str">
        <f t="shared" si="57"/>
        <v>頭馬</v>
      </c>
      <c r="W139" t="str">
        <f t="shared" si="58"/>
        <v>沿途,走位,6,6</v>
      </c>
      <c r="X139" t="str">
        <f t="shared" si="59"/>
        <v>完成</v>
      </c>
      <c r="Y139" t="str">
        <f t="shared" si="60"/>
        <v>獨贏</v>
      </c>
    </row>
    <row r="140" spans="1:25" ht="17.25" thickTop="1" x14ac:dyDescent="0.25">
      <c r="A140" s="38" t="s">
        <v>98</v>
      </c>
      <c r="B140" s="40" t="s">
        <v>1</v>
      </c>
      <c r="C140" s="40" t="s">
        <v>2</v>
      </c>
      <c r="D140" s="40" t="s">
        <v>3</v>
      </c>
      <c r="E140" s="40" t="s">
        <v>4</v>
      </c>
      <c r="F140" s="1" t="s">
        <v>5</v>
      </c>
      <c r="G140" s="1" t="s">
        <v>6</v>
      </c>
      <c r="H140" s="40" t="s">
        <v>7</v>
      </c>
      <c r="I140" s="1" t="s">
        <v>8</v>
      </c>
      <c r="J140" s="1" t="s">
        <v>9</v>
      </c>
      <c r="K140" s="1" t="s">
        <v>10</v>
      </c>
      <c r="L140" s="2" t="s">
        <v>11</v>
      </c>
    </row>
    <row r="141" spans="1:25" ht="17.25" thickBot="1" x14ac:dyDescent="0.3">
      <c r="A141" s="39"/>
      <c r="B141" s="41"/>
      <c r="C141" s="41"/>
      <c r="D141" s="41"/>
      <c r="E141" s="41"/>
      <c r="F141" s="3" t="s">
        <v>12</v>
      </c>
      <c r="G141" s="3" t="s">
        <v>13</v>
      </c>
      <c r="H141" s="41"/>
      <c r="I141" s="3" t="s">
        <v>14</v>
      </c>
      <c r="J141" s="3" t="s">
        <v>15</v>
      </c>
      <c r="K141" s="3" t="s">
        <v>16</v>
      </c>
      <c r="L141" s="4" t="s">
        <v>17</v>
      </c>
      <c r="N141" t="str">
        <f t="shared" si="49"/>
        <v> 1</v>
      </c>
      <c r="O141">
        <f t="shared" si="50"/>
        <v>4</v>
      </c>
      <c r="P141" t="str">
        <f t="shared" si="51"/>
        <v>星辰千帥 (K325)</v>
      </c>
      <c r="Q141" t="str">
        <f t="shared" si="52"/>
        <v>艾道拿</v>
      </c>
      <c r="R141" t="str">
        <f t="shared" si="53"/>
        <v>賀賢</v>
      </c>
      <c r="S141">
        <f t="shared" si="54"/>
        <v>131</v>
      </c>
      <c r="T141">
        <f t="shared" si="55"/>
        <v>1197</v>
      </c>
      <c r="U141">
        <f t="shared" si="56"/>
        <v>6</v>
      </c>
      <c r="V141" t="str">
        <f t="shared" si="57"/>
        <v>---</v>
      </c>
      <c r="W141" t="str">
        <f t="shared" si="58"/>
        <v>6,6,1,4</v>
      </c>
      <c r="X141" t="str">
        <f t="shared" si="59"/>
        <v>01:10.0</v>
      </c>
      <c r="Y141">
        <f t="shared" si="60"/>
        <v>10</v>
      </c>
    </row>
    <row r="142" spans="1:25" x14ac:dyDescent="0.25">
      <c r="A142" s="100" t="s">
        <v>99</v>
      </c>
      <c r="B142" s="54">
        <v>4</v>
      </c>
      <c r="C142" s="75" t="s">
        <v>100</v>
      </c>
      <c r="D142" s="78" t="s">
        <v>63</v>
      </c>
      <c r="E142" s="78" t="s">
        <v>57</v>
      </c>
      <c r="F142" s="54">
        <v>131</v>
      </c>
      <c r="G142" s="54">
        <v>1197</v>
      </c>
      <c r="H142" s="54">
        <v>6</v>
      </c>
      <c r="I142" s="54" t="s">
        <v>21</v>
      </c>
      <c r="J142" s="5">
        <v>6</v>
      </c>
      <c r="K142" s="57">
        <v>8.1030092592592601E-4</v>
      </c>
      <c r="L142" s="60">
        <v>10</v>
      </c>
    </row>
    <row r="143" spans="1:25" x14ac:dyDescent="0.25">
      <c r="A143" s="101"/>
      <c r="B143" s="55"/>
      <c r="C143" s="76"/>
      <c r="D143" s="79"/>
      <c r="E143" s="79"/>
      <c r="F143" s="55"/>
      <c r="G143" s="55"/>
      <c r="H143" s="55"/>
      <c r="I143" s="55"/>
      <c r="J143" s="6">
        <v>6</v>
      </c>
      <c r="K143" s="58"/>
      <c r="L143" s="61"/>
    </row>
    <row r="144" spans="1:25" ht="17.25" thickBot="1" x14ac:dyDescent="0.3">
      <c r="A144" s="102"/>
      <c r="B144" s="56"/>
      <c r="C144" s="77"/>
      <c r="D144" s="80"/>
      <c r="E144" s="80"/>
      <c r="F144" s="56"/>
      <c r="G144" s="56"/>
      <c r="H144" s="56"/>
      <c r="I144" s="56"/>
      <c r="J144" s="7">
        <v>1</v>
      </c>
      <c r="K144" s="59"/>
      <c r="L144" s="62"/>
      <c r="N144">
        <f t="shared" si="49"/>
        <v>2</v>
      </c>
      <c r="O144">
        <f t="shared" si="50"/>
        <v>6</v>
      </c>
      <c r="P144" t="str">
        <f t="shared" si="51"/>
        <v>快樂神駒 (L050)</v>
      </c>
      <c r="Q144" t="str">
        <f t="shared" si="52"/>
        <v>潘頓</v>
      </c>
      <c r="R144" t="str">
        <f t="shared" si="53"/>
        <v>廖康銘</v>
      </c>
      <c r="S144">
        <f t="shared" si="54"/>
        <v>129</v>
      </c>
      <c r="T144">
        <f t="shared" si="55"/>
        <v>1103</v>
      </c>
      <c r="U144">
        <f t="shared" si="56"/>
        <v>2</v>
      </c>
      <c r="V144" t="str">
        <f t="shared" si="57"/>
        <v>短馬頭位</v>
      </c>
      <c r="W144" t="str">
        <f t="shared" si="58"/>
        <v>4,4,2,5</v>
      </c>
      <c r="X144" t="str">
        <f t="shared" si="59"/>
        <v>01:10.0</v>
      </c>
      <c r="Y144">
        <f t="shared" si="60"/>
        <v>1.7</v>
      </c>
    </row>
    <row r="145" spans="1:25" x14ac:dyDescent="0.25">
      <c r="A145" s="63">
        <v>2</v>
      </c>
      <c r="B145" s="42">
        <v>6</v>
      </c>
      <c r="C145" s="66" t="s">
        <v>101</v>
      </c>
      <c r="D145" s="69" t="s">
        <v>23</v>
      </c>
      <c r="E145" s="69" t="s">
        <v>34</v>
      </c>
      <c r="F145" s="42">
        <v>129</v>
      </c>
      <c r="G145" s="42">
        <v>1103</v>
      </c>
      <c r="H145" s="42">
        <v>2</v>
      </c>
      <c r="I145" s="42" t="s">
        <v>102</v>
      </c>
      <c r="J145" s="8">
        <v>4</v>
      </c>
      <c r="K145" s="48">
        <v>8.1041666666666664E-4</v>
      </c>
      <c r="L145" s="51">
        <v>1.7</v>
      </c>
    </row>
    <row r="146" spans="1:25" x14ac:dyDescent="0.25">
      <c r="A146" s="64"/>
      <c r="B146" s="43"/>
      <c r="C146" s="67"/>
      <c r="D146" s="70"/>
      <c r="E146" s="70"/>
      <c r="F146" s="43"/>
      <c r="G146" s="43"/>
      <c r="H146" s="43"/>
      <c r="I146" s="43"/>
      <c r="J146" s="9">
        <v>4</v>
      </c>
      <c r="K146" s="49"/>
      <c r="L146" s="52"/>
    </row>
    <row r="147" spans="1:25" ht="17.25" thickBot="1" x14ac:dyDescent="0.3">
      <c r="A147" s="88"/>
      <c r="B147" s="81"/>
      <c r="C147" s="89"/>
      <c r="D147" s="90"/>
      <c r="E147" s="90"/>
      <c r="F147" s="81"/>
      <c r="G147" s="81"/>
      <c r="H147" s="81"/>
      <c r="I147" s="81"/>
      <c r="J147" s="10">
        <v>2</v>
      </c>
      <c r="K147" s="83"/>
      <c r="L147" s="84"/>
      <c r="N147">
        <f t="shared" si="49"/>
        <v>3</v>
      </c>
      <c r="O147">
        <f t="shared" si="50"/>
        <v>1</v>
      </c>
      <c r="P147" t="str">
        <f t="shared" si="51"/>
        <v>沙井之友 (K202)</v>
      </c>
      <c r="Q147" t="str">
        <f t="shared" si="52"/>
        <v>周俊樂</v>
      </c>
      <c r="R147" t="str">
        <f t="shared" si="53"/>
        <v>巫偉傑</v>
      </c>
      <c r="S147">
        <f t="shared" si="54"/>
        <v>133</v>
      </c>
      <c r="T147">
        <f t="shared" si="55"/>
        <v>1117</v>
      </c>
      <c r="U147">
        <f t="shared" si="56"/>
        <v>7</v>
      </c>
      <c r="V147" t="str">
        <f t="shared" si="57"/>
        <v>頸位</v>
      </c>
      <c r="W147" t="str">
        <f t="shared" si="58"/>
        <v>5,7,3,2</v>
      </c>
      <c r="X147" t="str">
        <f t="shared" si="59"/>
        <v>01:10.1</v>
      </c>
      <c r="Y147">
        <f t="shared" si="60"/>
        <v>5.5</v>
      </c>
    </row>
    <row r="148" spans="1:25" x14ac:dyDescent="0.25">
      <c r="A148" s="72">
        <v>3</v>
      </c>
      <c r="B148" s="54">
        <v>1</v>
      </c>
      <c r="C148" s="75" t="s">
        <v>103</v>
      </c>
      <c r="D148" s="78" t="s">
        <v>19</v>
      </c>
      <c r="E148" s="78" t="s">
        <v>28</v>
      </c>
      <c r="F148" s="54">
        <v>133</v>
      </c>
      <c r="G148" s="54">
        <v>1117</v>
      </c>
      <c r="H148" s="54">
        <v>7</v>
      </c>
      <c r="I148" s="54" t="s">
        <v>25</v>
      </c>
      <c r="J148" s="5">
        <v>5</v>
      </c>
      <c r="K148" s="57">
        <v>8.1099537037037034E-4</v>
      </c>
      <c r="L148" s="60">
        <v>5.5</v>
      </c>
    </row>
    <row r="149" spans="1:25" x14ac:dyDescent="0.25">
      <c r="A149" s="73"/>
      <c r="B149" s="55"/>
      <c r="C149" s="76"/>
      <c r="D149" s="79"/>
      <c r="E149" s="79"/>
      <c r="F149" s="55"/>
      <c r="G149" s="55"/>
      <c r="H149" s="55"/>
      <c r="I149" s="55"/>
      <c r="J149" s="6">
        <v>7</v>
      </c>
      <c r="K149" s="58"/>
      <c r="L149" s="61"/>
    </row>
    <row r="150" spans="1:25" ht="17.25" thickBot="1" x14ac:dyDescent="0.3">
      <c r="A150" s="74"/>
      <c r="B150" s="56"/>
      <c r="C150" s="77"/>
      <c r="D150" s="80"/>
      <c r="E150" s="80"/>
      <c r="F150" s="56"/>
      <c r="G150" s="56"/>
      <c r="H150" s="56"/>
      <c r="I150" s="56"/>
      <c r="J150" s="7">
        <v>3</v>
      </c>
      <c r="K150" s="59"/>
      <c r="L150" s="62"/>
      <c r="N150">
        <f t="shared" si="49"/>
        <v>4</v>
      </c>
      <c r="O150">
        <f t="shared" si="50"/>
        <v>9</v>
      </c>
      <c r="P150" t="str">
        <f t="shared" si="51"/>
        <v>將傲 (L277)</v>
      </c>
      <c r="Q150" t="str">
        <f t="shared" si="52"/>
        <v>奧爾民</v>
      </c>
      <c r="R150" t="str">
        <f t="shared" si="53"/>
        <v>韋達</v>
      </c>
      <c r="S150">
        <f t="shared" si="54"/>
        <v>126</v>
      </c>
      <c r="T150">
        <f t="shared" si="55"/>
        <v>1088</v>
      </c>
      <c r="U150">
        <f t="shared" si="56"/>
        <v>4</v>
      </c>
      <c r="V150">
        <f t="shared" si="57"/>
        <v>46115</v>
      </c>
      <c r="W150" t="str">
        <f t="shared" si="58"/>
        <v>2,2,4,3</v>
      </c>
      <c r="X150" t="str">
        <f t="shared" si="59"/>
        <v>01:10.2</v>
      </c>
      <c r="Y150">
        <f t="shared" si="60"/>
        <v>6.1</v>
      </c>
    </row>
    <row r="151" spans="1:25" x14ac:dyDescent="0.25">
      <c r="A151" s="63">
        <v>4</v>
      </c>
      <c r="B151" s="42">
        <v>9</v>
      </c>
      <c r="C151" s="66" t="s">
        <v>104</v>
      </c>
      <c r="D151" s="69" t="s">
        <v>51</v>
      </c>
      <c r="E151" s="69" t="s">
        <v>49</v>
      </c>
      <c r="F151" s="42">
        <v>126</v>
      </c>
      <c r="G151" s="42">
        <v>1088</v>
      </c>
      <c r="H151" s="42">
        <v>4</v>
      </c>
      <c r="I151" s="106">
        <v>46115</v>
      </c>
      <c r="J151" s="8">
        <v>2</v>
      </c>
      <c r="K151" s="48">
        <v>8.12037037037037E-4</v>
      </c>
      <c r="L151" s="51">
        <v>6.1</v>
      </c>
    </row>
    <row r="152" spans="1:25" x14ac:dyDescent="0.25">
      <c r="A152" s="64"/>
      <c r="B152" s="43"/>
      <c r="C152" s="67"/>
      <c r="D152" s="70"/>
      <c r="E152" s="70"/>
      <c r="F152" s="43"/>
      <c r="G152" s="43"/>
      <c r="H152" s="43"/>
      <c r="I152" s="107"/>
      <c r="J152" s="9">
        <v>2</v>
      </c>
      <c r="K152" s="49"/>
      <c r="L152" s="52"/>
    </row>
    <row r="153" spans="1:25" ht="17.25" thickBot="1" x14ac:dyDescent="0.3">
      <c r="A153" s="88"/>
      <c r="B153" s="81"/>
      <c r="C153" s="89"/>
      <c r="D153" s="90"/>
      <c r="E153" s="90"/>
      <c r="F153" s="81"/>
      <c r="G153" s="81"/>
      <c r="H153" s="81"/>
      <c r="I153" s="108"/>
      <c r="J153" s="10">
        <v>4</v>
      </c>
      <c r="K153" s="83"/>
      <c r="L153" s="84"/>
      <c r="N153">
        <f t="shared" si="49"/>
        <v>5</v>
      </c>
      <c r="O153">
        <f t="shared" si="50"/>
        <v>5</v>
      </c>
      <c r="P153" t="str">
        <f t="shared" si="51"/>
        <v>莊家班 (L115)</v>
      </c>
      <c r="Q153" t="str">
        <f t="shared" si="52"/>
        <v>黃智弘</v>
      </c>
      <c r="R153" t="str">
        <f t="shared" si="53"/>
        <v>沈集成</v>
      </c>
      <c r="S153">
        <f t="shared" si="54"/>
        <v>127</v>
      </c>
      <c r="T153">
        <f t="shared" si="55"/>
        <v>1056</v>
      </c>
      <c r="U153">
        <f t="shared" si="56"/>
        <v>3</v>
      </c>
      <c r="V153">
        <f t="shared" si="57"/>
        <v>37987</v>
      </c>
      <c r="W153" t="str">
        <f t="shared" si="58"/>
        <v>3,5,5,10</v>
      </c>
      <c r="X153" t="str">
        <f t="shared" si="59"/>
        <v>01:10.2</v>
      </c>
      <c r="Y153">
        <f t="shared" si="60"/>
        <v>51</v>
      </c>
    </row>
    <row r="154" spans="1:25" x14ac:dyDescent="0.25">
      <c r="A154" s="72">
        <v>5</v>
      </c>
      <c r="B154" s="54">
        <v>5</v>
      </c>
      <c r="C154" s="75" t="s">
        <v>105</v>
      </c>
      <c r="D154" s="78" t="s">
        <v>80</v>
      </c>
      <c r="E154" s="78" t="s">
        <v>60</v>
      </c>
      <c r="F154" s="54">
        <v>127</v>
      </c>
      <c r="G154" s="54">
        <v>1056</v>
      </c>
      <c r="H154" s="54">
        <v>3</v>
      </c>
      <c r="I154" s="85">
        <v>37987</v>
      </c>
      <c r="J154" s="5">
        <v>3</v>
      </c>
      <c r="K154" s="57">
        <v>8.1284722222222229E-4</v>
      </c>
      <c r="L154" s="60">
        <v>51</v>
      </c>
    </row>
    <row r="155" spans="1:25" x14ac:dyDescent="0.25">
      <c r="A155" s="73"/>
      <c r="B155" s="55"/>
      <c r="C155" s="76"/>
      <c r="D155" s="79"/>
      <c r="E155" s="79"/>
      <c r="F155" s="55"/>
      <c r="G155" s="55"/>
      <c r="H155" s="55"/>
      <c r="I155" s="86"/>
      <c r="J155" s="6">
        <v>5</v>
      </c>
      <c r="K155" s="58"/>
      <c r="L155" s="61"/>
    </row>
    <row r="156" spans="1:25" ht="17.25" thickBot="1" x14ac:dyDescent="0.3">
      <c r="A156" s="74"/>
      <c r="B156" s="56"/>
      <c r="C156" s="77"/>
      <c r="D156" s="80"/>
      <c r="E156" s="80"/>
      <c r="F156" s="56"/>
      <c r="G156" s="56"/>
      <c r="H156" s="56"/>
      <c r="I156" s="87"/>
      <c r="J156" s="7">
        <v>5</v>
      </c>
      <c r="K156" s="59"/>
      <c r="L156" s="62"/>
      <c r="N156">
        <f t="shared" si="49"/>
        <v>6</v>
      </c>
      <c r="O156">
        <f t="shared" si="50"/>
        <v>12</v>
      </c>
      <c r="P156" t="str">
        <f t="shared" si="51"/>
        <v>三強 (K229)</v>
      </c>
      <c r="Q156" t="str">
        <f t="shared" si="52"/>
        <v>楊明綸</v>
      </c>
      <c r="R156" t="str">
        <f t="shared" si="53"/>
        <v>鄭俊偉</v>
      </c>
      <c r="S156">
        <f t="shared" si="54"/>
        <v>120</v>
      </c>
      <c r="T156">
        <f t="shared" si="55"/>
        <v>1131</v>
      </c>
      <c r="U156">
        <f t="shared" si="56"/>
        <v>10</v>
      </c>
      <c r="V156">
        <f t="shared" si="57"/>
        <v>37257</v>
      </c>
      <c r="W156" t="str">
        <f t="shared" si="58"/>
        <v>10,10,6,7</v>
      </c>
      <c r="X156" t="str">
        <f t="shared" si="59"/>
        <v>01:10.2</v>
      </c>
      <c r="Y156">
        <f t="shared" si="60"/>
        <v>56</v>
      </c>
    </row>
    <row r="157" spans="1:25" x14ac:dyDescent="0.25">
      <c r="A157" s="63">
        <v>6</v>
      </c>
      <c r="B157" s="42">
        <v>12</v>
      </c>
      <c r="C157" s="66" t="s">
        <v>106</v>
      </c>
      <c r="D157" s="69" t="s">
        <v>42</v>
      </c>
      <c r="E157" s="69" t="s">
        <v>107</v>
      </c>
      <c r="F157" s="42">
        <v>120</v>
      </c>
      <c r="G157" s="42">
        <v>1131</v>
      </c>
      <c r="H157" s="42">
        <v>10</v>
      </c>
      <c r="I157" s="45">
        <v>37257</v>
      </c>
      <c r="J157" s="8">
        <v>10</v>
      </c>
      <c r="K157" s="48">
        <v>8.1296296296296292E-4</v>
      </c>
      <c r="L157" s="51">
        <v>56</v>
      </c>
    </row>
    <row r="158" spans="1:25" x14ac:dyDescent="0.25">
      <c r="A158" s="64"/>
      <c r="B158" s="43"/>
      <c r="C158" s="67"/>
      <c r="D158" s="70"/>
      <c r="E158" s="70"/>
      <c r="F158" s="43"/>
      <c r="G158" s="43"/>
      <c r="H158" s="43"/>
      <c r="I158" s="46"/>
      <c r="J158" s="9">
        <v>10</v>
      </c>
      <c r="K158" s="49"/>
      <c r="L158" s="52"/>
    </row>
    <row r="159" spans="1:25" ht="17.25" thickBot="1" x14ac:dyDescent="0.3">
      <c r="A159" s="88"/>
      <c r="B159" s="81"/>
      <c r="C159" s="89"/>
      <c r="D159" s="90"/>
      <c r="E159" s="90"/>
      <c r="F159" s="81"/>
      <c r="G159" s="81"/>
      <c r="H159" s="81"/>
      <c r="I159" s="82"/>
      <c r="J159" s="10">
        <v>6</v>
      </c>
      <c r="K159" s="83"/>
      <c r="L159" s="84"/>
      <c r="N159">
        <f t="shared" si="49"/>
        <v>7</v>
      </c>
      <c r="O159">
        <f t="shared" si="50"/>
        <v>11</v>
      </c>
      <c r="P159" t="str">
        <f t="shared" si="51"/>
        <v>焦點 (H173)</v>
      </c>
      <c r="Q159" t="str">
        <f t="shared" si="52"/>
        <v>田泰安</v>
      </c>
      <c r="R159" t="str">
        <f t="shared" si="53"/>
        <v>游達榮</v>
      </c>
      <c r="S159">
        <f t="shared" si="54"/>
        <v>121</v>
      </c>
      <c r="T159">
        <f t="shared" si="55"/>
        <v>1057</v>
      </c>
      <c r="U159">
        <f t="shared" si="56"/>
        <v>1</v>
      </c>
      <c r="V159">
        <f t="shared" si="57"/>
        <v>37988</v>
      </c>
      <c r="W159" t="str">
        <f t="shared" si="58"/>
        <v>7,8,7,9</v>
      </c>
      <c r="X159" t="str">
        <f t="shared" si="59"/>
        <v>01:10.4</v>
      </c>
      <c r="Y159">
        <f t="shared" si="60"/>
        <v>12</v>
      </c>
    </row>
    <row r="160" spans="1:25" x14ac:dyDescent="0.25">
      <c r="A160" s="72">
        <v>7</v>
      </c>
      <c r="B160" s="54">
        <v>11</v>
      </c>
      <c r="C160" s="75" t="s">
        <v>108</v>
      </c>
      <c r="D160" s="78" t="s">
        <v>27</v>
      </c>
      <c r="E160" s="78" t="s">
        <v>20</v>
      </c>
      <c r="F160" s="54">
        <v>121</v>
      </c>
      <c r="G160" s="54">
        <v>1057</v>
      </c>
      <c r="H160" s="54">
        <v>1</v>
      </c>
      <c r="I160" s="85">
        <v>37988</v>
      </c>
      <c r="J160" s="5">
        <v>7</v>
      </c>
      <c r="K160" s="57">
        <v>8.1469907407407413E-4</v>
      </c>
      <c r="L160" s="60">
        <v>12</v>
      </c>
    </row>
    <row r="161" spans="1:25" x14ac:dyDescent="0.25">
      <c r="A161" s="73"/>
      <c r="B161" s="55"/>
      <c r="C161" s="76"/>
      <c r="D161" s="79"/>
      <c r="E161" s="79"/>
      <c r="F161" s="55"/>
      <c r="G161" s="55"/>
      <c r="H161" s="55"/>
      <c r="I161" s="86"/>
      <c r="J161" s="6">
        <v>8</v>
      </c>
      <c r="K161" s="58"/>
      <c r="L161" s="61"/>
    </row>
    <row r="162" spans="1:25" ht="17.25" thickBot="1" x14ac:dyDescent="0.3">
      <c r="A162" s="74"/>
      <c r="B162" s="56"/>
      <c r="C162" s="77"/>
      <c r="D162" s="80"/>
      <c r="E162" s="80"/>
      <c r="F162" s="56"/>
      <c r="G162" s="56"/>
      <c r="H162" s="56"/>
      <c r="I162" s="87"/>
      <c r="J162" s="7">
        <v>7</v>
      </c>
      <c r="K162" s="59"/>
      <c r="L162" s="62"/>
      <c r="N162">
        <f t="shared" si="49"/>
        <v>8</v>
      </c>
      <c r="O162">
        <f t="shared" si="50"/>
        <v>8</v>
      </c>
      <c r="P162" t="str">
        <f t="shared" si="51"/>
        <v>禪勝閃亮 (L051)</v>
      </c>
      <c r="Q162" t="str">
        <f t="shared" si="52"/>
        <v>希威森</v>
      </c>
      <c r="R162" t="str">
        <f t="shared" si="53"/>
        <v>呂健威</v>
      </c>
      <c r="S162">
        <f t="shared" si="54"/>
        <v>128</v>
      </c>
      <c r="T162">
        <f t="shared" si="55"/>
        <v>993</v>
      </c>
      <c r="U162">
        <f t="shared" si="56"/>
        <v>5</v>
      </c>
      <c r="V162">
        <f t="shared" si="57"/>
        <v>37258</v>
      </c>
      <c r="W162" t="str">
        <f t="shared" si="58"/>
        <v>9,9,8,8</v>
      </c>
      <c r="X162" t="str">
        <f t="shared" si="59"/>
        <v>01:10.4</v>
      </c>
      <c r="Y162">
        <f t="shared" si="60"/>
        <v>31</v>
      </c>
    </row>
    <row r="163" spans="1:25" x14ac:dyDescent="0.25">
      <c r="A163" s="63">
        <v>8</v>
      </c>
      <c r="B163" s="42">
        <v>8</v>
      </c>
      <c r="C163" s="66" t="s">
        <v>109</v>
      </c>
      <c r="D163" s="69" t="s">
        <v>30</v>
      </c>
      <c r="E163" s="69" t="s">
        <v>92</v>
      </c>
      <c r="F163" s="42">
        <v>128</v>
      </c>
      <c r="G163" s="42">
        <v>993</v>
      </c>
      <c r="H163" s="42">
        <v>5</v>
      </c>
      <c r="I163" s="45">
        <v>37258</v>
      </c>
      <c r="J163" s="8">
        <v>9</v>
      </c>
      <c r="K163" s="48">
        <v>8.149305555555555E-4</v>
      </c>
      <c r="L163" s="51">
        <v>31</v>
      </c>
    </row>
    <row r="164" spans="1:25" x14ac:dyDescent="0.25">
      <c r="A164" s="64"/>
      <c r="B164" s="43"/>
      <c r="C164" s="67"/>
      <c r="D164" s="70"/>
      <c r="E164" s="70"/>
      <c r="F164" s="43"/>
      <c r="G164" s="43"/>
      <c r="H164" s="43"/>
      <c r="I164" s="46"/>
      <c r="J164" s="9">
        <v>9</v>
      </c>
      <c r="K164" s="49"/>
      <c r="L164" s="52"/>
    </row>
    <row r="165" spans="1:25" ht="17.25" thickBot="1" x14ac:dyDescent="0.3">
      <c r="A165" s="88"/>
      <c r="B165" s="81"/>
      <c r="C165" s="89"/>
      <c r="D165" s="90"/>
      <c r="E165" s="90"/>
      <c r="F165" s="81"/>
      <c r="G165" s="81"/>
      <c r="H165" s="81"/>
      <c r="I165" s="82"/>
      <c r="J165" s="10">
        <v>8</v>
      </c>
      <c r="K165" s="83"/>
      <c r="L165" s="84"/>
      <c r="N165">
        <f t="shared" si="49"/>
        <v>9</v>
      </c>
      <c r="O165">
        <f t="shared" si="50"/>
        <v>2</v>
      </c>
      <c r="P165" t="str">
        <f t="shared" si="51"/>
        <v>智勝一籌 (L249)</v>
      </c>
      <c r="Q165" t="str">
        <f t="shared" si="52"/>
        <v>蔡明紹</v>
      </c>
      <c r="R165" t="str">
        <f t="shared" si="53"/>
        <v>蘇偉賢</v>
      </c>
      <c r="S165">
        <f t="shared" si="54"/>
        <v>135</v>
      </c>
      <c r="T165">
        <f t="shared" si="55"/>
        <v>1066</v>
      </c>
      <c r="U165">
        <f t="shared" si="56"/>
        <v>9</v>
      </c>
      <c r="V165">
        <f t="shared" si="57"/>
        <v>38049</v>
      </c>
      <c r="W165" t="str">
        <f t="shared" si="58"/>
        <v>8,3,9,1</v>
      </c>
      <c r="X165" t="str">
        <f t="shared" si="59"/>
        <v>01:10.6</v>
      </c>
      <c r="Y165">
        <f t="shared" si="60"/>
        <v>41</v>
      </c>
    </row>
    <row r="166" spans="1:25" x14ac:dyDescent="0.25">
      <c r="A166" s="72">
        <v>9</v>
      </c>
      <c r="B166" s="54">
        <v>2</v>
      </c>
      <c r="C166" s="75" t="s">
        <v>110</v>
      </c>
      <c r="D166" s="78" t="s">
        <v>76</v>
      </c>
      <c r="E166" s="78" t="s">
        <v>43</v>
      </c>
      <c r="F166" s="54">
        <v>135</v>
      </c>
      <c r="G166" s="54">
        <v>1066</v>
      </c>
      <c r="H166" s="54">
        <v>9</v>
      </c>
      <c r="I166" s="85">
        <v>38049</v>
      </c>
      <c r="J166" s="5">
        <v>8</v>
      </c>
      <c r="K166" s="57">
        <v>8.1747685185185178E-4</v>
      </c>
      <c r="L166" s="60">
        <v>41</v>
      </c>
    </row>
    <row r="167" spans="1:25" x14ac:dyDescent="0.25">
      <c r="A167" s="73"/>
      <c r="B167" s="55"/>
      <c r="C167" s="76"/>
      <c r="D167" s="79"/>
      <c r="E167" s="79"/>
      <c r="F167" s="55"/>
      <c r="G167" s="55"/>
      <c r="H167" s="55"/>
      <c r="I167" s="86"/>
      <c r="J167" s="6">
        <v>3</v>
      </c>
      <c r="K167" s="58"/>
      <c r="L167" s="61"/>
    </row>
    <row r="168" spans="1:25" ht="17.25" thickBot="1" x14ac:dyDescent="0.3">
      <c r="A168" s="74"/>
      <c r="B168" s="56"/>
      <c r="C168" s="77"/>
      <c r="D168" s="80"/>
      <c r="E168" s="80"/>
      <c r="F168" s="56"/>
      <c r="G168" s="56"/>
      <c r="H168" s="56"/>
      <c r="I168" s="87"/>
      <c r="J168" s="7">
        <v>9</v>
      </c>
      <c r="K168" s="59"/>
      <c r="L168" s="62"/>
      <c r="N168">
        <f t="shared" si="49"/>
        <v>10</v>
      </c>
      <c r="O168">
        <f t="shared" si="50"/>
        <v>10</v>
      </c>
      <c r="P168" t="str">
        <f t="shared" si="51"/>
        <v>平天雄 (K407)</v>
      </c>
      <c r="Q168" t="str">
        <f t="shared" si="52"/>
        <v>潘明輝</v>
      </c>
      <c r="R168" t="str">
        <f t="shared" si="53"/>
        <v>丁冠豪</v>
      </c>
      <c r="S168">
        <f t="shared" si="54"/>
        <v>123</v>
      </c>
      <c r="T168">
        <f t="shared" si="55"/>
        <v>1260</v>
      </c>
      <c r="U168">
        <f t="shared" si="56"/>
        <v>8</v>
      </c>
      <c r="V168">
        <f t="shared" si="57"/>
        <v>38051</v>
      </c>
      <c r="W168" t="str">
        <f t="shared" si="58"/>
        <v>1,1,10,---</v>
      </c>
      <c r="X168" t="str">
        <f t="shared" si="59"/>
        <v>01:11.0</v>
      </c>
      <c r="Y168">
        <f t="shared" si="60"/>
        <v>79</v>
      </c>
    </row>
    <row r="169" spans="1:25" x14ac:dyDescent="0.25">
      <c r="A169" s="63">
        <v>10</v>
      </c>
      <c r="B169" s="42">
        <v>10</v>
      </c>
      <c r="C169" s="66" t="s">
        <v>111</v>
      </c>
      <c r="D169" s="69" t="s">
        <v>70</v>
      </c>
      <c r="E169" s="69" t="s">
        <v>55</v>
      </c>
      <c r="F169" s="42">
        <v>123</v>
      </c>
      <c r="G169" s="42">
        <v>1260</v>
      </c>
      <c r="H169" s="42">
        <v>8</v>
      </c>
      <c r="I169" s="45">
        <v>38051</v>
      </c>
      <c r="J169" s="8">
        <v>1</v>
      </c>
      <c r="K169" s="48">
        <v>8.2118055555555557E-4</v>
      </c>
      <c r="L169" s="51">
        <v>79</v>
      </c>
    </row>
    <row r="170" spans="1:25" x14ac:dyDescent="0.25">
      <c r="A170" s="64"/>
      <c r="B170" s="43"/>
      <c r="C170" s="67"/>
      <c r="D170" s="70"/>
      <c r="E170" s="70"/>
      <c r="F170" s="43"/>
      <c r="G170" s="43"/>
      <c r="H170" s="43"/>
      <c r="I170" s="46"/>
      <c r="J170" s="9">
        <v>1</v>
      </c>
      <c r="K170" s="49"/>
      <c r="L170" s="52"/>
    </row>
    <row r="171" spans="1:25" ht="17.25" thickBot="1" x14ac:dyDescent="0.3">
      <c r="A171" s="88"/>
      <c r="B171" s="81"/>
      <c r="C171" s="89"/>
      <c r="D171" s="90"/>
      <c r="E171" s="90"/>
      <c r="F171" s="81"/>
      <c r="G171" s="81"/>
      <c r="H171" s="81"/>
      <c r="I171" s="82"/>
      <c r="J171" s="10">
        <v>10</v>
      </c>
      <c r="K171" s="83"/>
      <c r="L171" s="84"/>
      <c r="N171" t="str">
        <f t="shared" si="49"/>
        <v>WV</v>
      </c>
      <c r="O171">
        <f t="shared" si="50"/>
        <v>3</v>
      </c>
      <c r="P171" t="str">
        <f t="shared" si="51"/>
        <v>應龍飛影 (L083)</v>
      </c>
      <c r="Q171" t="str">
        <f t="shared" si="52"/>
        <v>袁幸堯</v>
      </c>
      <c r="R171" t="str">
        <f t="shared" si="53"/>
        <v>伍鵬志</v>
      </c>
      <c r="S171">
        <f t="shared" si="54"/>
        <v>122</v>
      </c>
      <c r="T171" t="str">
        <f t="shared" si="55"/>
        <v>---</v>
      </c>
      <c r="U171" t="str">
        <f t="shared" si="56"/>
        <v>---</v>
      </c>
      <c r="V171" t="str">
        <f t="shared" si="57"/>
        <v>---</v>
      </c>
      <c r="W171" t="str">
        <f t="shared" si="58"/>
        <v>---,---,沿途,走位</v>
      </c>
      <c r="X171" t="str">
        <f t="shared" si="59"/>
        <v>---</v>
      </c>
      <c r="Y171" t="str">
        <f t="shared" si="60"/>
        <v>---</v>
      </c>
    </row>
    <row r="172" spans="1:25" ht="17.25" thickBot="1" x14ac:dyDescent="0.3">
      <c r="A172" s="17" t="s">
        <v>96</v>
      </c>
      <c r="B172" s="18">
        <v>3</v>
      </c>
      <c r="C172" s="19" t="s">
        <v>112</v>
      </c>
      <c r="D172" s="20" t="s">
        <v>45</v>
      </c>
      <c r="E172" s="20" t="s">
        <v>113</v>
      </c>
      <c r="F172" s="18">
        <v>122</v>
      </c>
      <c r="G172" s="18" t="s">
        <v>21</v>
      </c>
      <c r="H172" s="18" t="s">
        <v>21</v>
      </c>
      <c r="I172" s="18" t="s">
        <v>21</v>
      </c>
      <c r="J172" s="18" t="s">
        <v>21</v>
      </c>
      <c r="K172" s="18" t="s">
        <v>21</v>
      </c>
      <c r="L172" s="21" t="s">
        <v>21</v>
      </c>
      <c r="N172" t="str">
        <f t="shared" si="49"/>
        <v>WV</v>
      </c>
      <c r="O172">
        <f t="shared" si="50"/>
        <v>7</v>
      </c>
      <c r="P172" t="str">
        <f t="shared" si="51"/>
        <v>震撼人心 (L420)</v>
      </c>
      <c r="Q172" t="str">
        <f t="shared" si="52"/>
        <v>艾兆禮</v>
      </c>
      <c r="R172" t="str">
        <f t="shared" si="53"/>
        <v>蔡約翰</v>
      </c>
      <c r="S172">
        <f t="shared" si="54"/>
        <v>129</v>
      </c>
      <c r="T172" t="str">
        <f t="shared" si="55"/>
        <v>---</v>
      </c>
      <c r="U172" t="str">
        <f t="shared" si="56"/>
        <v>---</v>
      </c>
      <c r="V172" t="str">
        <f t="shared" si="57"/>
        <v>---</v>
      </c>
      <c r="W172" t="str">
        <f t="shared" si="58"/>
        <v>---,沿途,走位,11</v>
      </c>
      <c r="X172" t="str">
        <f t="shared" si="59"/>
        <v>---</v>
      </c>
      <c r="Y172" t="str">
        <f t="shared" si="60"/>
        <v>---</v>
      </c>
    </row>
    <row r="173" spans="1:25" ht="17.25" thickBot="1" x14ac:dyDescent="0.3">
      <c r="A173" s="22" t="s">
        <v>96</v>
      </c>
      <c r="B173" s="23">
        <v>7</v>
      </c>
      <c r="C173" s="24" t="s">
        <v>114</v>
      </c>
      <c r="D173" s="25" t="s">
        <v>39</v>
      </c>
      <c r="E173" s="25" t="s">
        <v>40</v>
      </c>
      <c r="F173" s="23">
        <v>129</v>
      </c>
      <c r="G173" s="23" t="s">
        <v>21</v>
      </c>
      <c r="H173" s="23" t="s">
        <v>21</v>
      </c>
      <c r="I173" s="23" t="s">
        <v>21</v>
      </c>
      <c r="J173" s="23" t="s">
        <v>21</v>
      </c>
      <c r="K173" s="23" t="s">
        <v>21</v>
      </c>
      <c r="L173" s="26" t="s">
        <v>21</v>
      </c>
      <c r="N173" t="str">
        <f t="shared" ref="N173:N236" si="61">A174</f>
        <v>名次</v>
      </c>
      <c r="O173" t="str">
        <f t="shared" ref="O173:O236" si="62">B174</f>
        <v>馬號</v>
      </c>
      <c r="P173" t="str">
        <f t="shared" ref="P173:P236" si="63">C174</f>
        <v>馬名</v>
      </c>
      <c r="Q173" t="str">
        <f t="shared" ref="Q173:Q236" si="64">D174</f>
        <v>騎師</v>
      </c>
      <c r="R173" t="str">
        <f t="shared" ref="R173:R236" si="65">E174</f>
        <v>練馬師</v>
      </c>
      <c r="S173" t="str">
        <f t="shared" ref="S173:S236" si="66">F174</f>
        <v>實際</v>
      </c>
      <c r="T173" t="str">
        <f t="shared" ref="T173:T236" si="67">G174</f>
        <v>排位</v>
      </c>
      <c r="U173" t="str">
        <f t="shared" ref="U173:U236" si="68">H174</f>
        <v>檔位</v>
      </c>
      <c r="V173" t="str">
        <f t="shared" ref="V173:V236" si="69">I174</f>
        <v>頭馬</v>
      </c>
      <c r="W173" t="str">
        <f t="shared" ref="W173:W236" si="70">J174&amp;","&amp;J175&amp;","&amp;J176&amp;","&amp;J177</f>
        <v>沿途,走位,11,11</v>
      </c>
      <c r="X173" t="str">
        <f t="shared" ref="X173:X236" si="71">TEXT(K174, "mm:ss.0")</f>
        <v>完成</v>
      </c>
      <c r="Y173" t="str">
        <f t="shared" ref="Y173:Y236" si="72">L174</f>
        <v>獨贏</v>
      </c>
    </row>
    <row r="174" spans="1:25" ht="17.25" thickTop="1" x14ac:dyDescent="0.25">
      <c r="A174" s="38" t="s">
        <v>0</v>
      </c>
      <c r="B174" s="40" t="s">
        <v>1</v>
      </c>
      <c r="C174" s="40" t="s">
        <v>2</v>
      </c>
      <c r="D174" s="40" t="s">
        <v>3</v>
      </c>
      <c r="E174" s="40" t="s">
        <v>4</v>
      </c>
      <c r="F174" s="1" t="s">
        <v>5</v>
      </c>
      <c r="G174" s="1" t="s">
        <v>6</v>
      </c>
      <c r="H174" s="40" t="s">
        <v>7</v>
      </c>
      <c r="I174" s="1" t="s">
        <v>8</v>
      </c>
      <c r="J174" s="1" t="s">
        <v>9</v>
      </c>
      <c r="K174" s="1" t="s">
        <v>10</v>
      </c>
      <c r="L174" s="2" t="s">
        <v>11</v>
      </c>
    </row>
    <row r="175" spans="1:25" ht="17.25" thickBot="1" x14ac:dyDescent="0.3">
      <c r="A175" s="39"/>
      <c r="B175" s="41"/>
      <c r="C175" s="41"/>
      <c r="D175" s="41"/>
      <c r="E175" s="41"/>
      <c r="F175" s="3" t="s">
        <v>12</v>
      </c>
      <c r="G175" s="3" t="s">
        <v>13</v>
      </c>
      <c r="H175" s="41"/>
      <c r="I175" s="3" t="s">
        <v>14</v>
      </c>
      <c r="J175" s="3" t="s">
        <v>15</v>
      </c>
      <c r="K175" s="3" t="s">
        <v>16</v>
      </c>
      <c r="L175" s="4" t="s">
        <v>17</v>
      </c>
      <c r="N175">
        <f t="shared" si="61"/>
        <v>1</v>
      </c>
      <c r="O175">
        <f t="shared" si="62"/>
        <v>6</v>
      </c>
      <c r="P175" t="str">
        <f t="shared" si="63"/>
        <v>越駿聯歡 (L202)</v>
      </c>
      <c r="Q175" t="str">
        <f t="shared" si="64"/>
        <v>梁家俊</v>
      </c>
      <c r="R175" t="str">
        <f t="shared" si="65"/>
        <v>黎昭昇</v>
      </c>
      <c r="S175">
        <f t="shared" si="66"/>
        <v>124</v>
      </c>
      <c r="T175">
        <f t="shared" si="67"/>
        <v>1115</v>
      </c>
      <c r="U175">
        <f t="shared" si="68"/>
        <v>6</v>
      </c>
      <c r="V175" t="str">
        <f t="shared" si="69"/>
        <v>---</v>
      </c>
      <c r="W175" t="str">
        <f t="shared" si="70"/>
        <v>11,11,11,1</v>
      </c>
      <c r="X175" t="str">
        <f t="shared" si="71"/>
        <v>01:39.5</v>
      </c>
      <c r="Y175">
        <f t="shared" si="72"/>
        <v>8.6999999999999993</v>
      </c>
    </row>
    <row r="176" spans="1:25" x14ac:dyDescent="0.25">
      <c r="A176" s="72">
        <v>1</v>
      </c>
      <c r="B176" s="54">
        <v>6</v>
      </c>
      <c r="C176" s="75" t="s">
        <v>115</v>
      </c>
      <c r="D176" s="78" t="s">
        <v>48</v>
      </c>
      <c r="E176" s="78" t="s">
        <v>52</v>
      </c>
      <c r="F176" s="54">
        <v>124</v>
      </c>
      <c r="G176" s="54">
        <v>1115</v>
      </c>
      <c r="H176" s="54">
        <v>6</v>
      </c>
      <c r="I176" s="54" t="s">
        <v>21</v>
      </c>
      <c r="J176" s="5">
        <v>11</v>
      </c>
      <c r="K176" s="57">
        <v>1.1519675925925927E-3</v>
      </c>
      <c r="L176" s="60">
        <v>8.6999999999999993</v>
      </c>
    </row>
    <row r="177" spans="1:25" x14ac:dyDescent="0.25">
      <c r="A177" s="73"/>
      <c r="B177" s="55"/>
      <c r="C177" s="76"/>
      <c r="D177" s="79"/>
      <c r="E177" s="79"/>
      <c r="F177" s="55"/>
      <c r="G177" s="55"/>
      <c r="H177" s="55"/>
      <c r="I177" s="55"/>
      <c r="J177" s="6">
        <v>11</v>
      </c>
      <c r="K177" s="58"/>
      <c r="L177" s="61"/>
    </row>
    <row r="178" spans="1:25" x14ac:dyDescent="0.25">
      <c r="A178" s="73"/>
      <c r="B178" s="55"/>
      <c r="C178" s="76"/>
      <c r="D178" s="79"/>
      <c r="E178" s="79"/>
      <c r="F178" s="55"/>
      <c r="G178" s="55"/>
      <c r="H178" s="55"/>
      <c r="I178" s="55"/>
      <c r="J178" s="6">
        <v>11</v>
      </c>
      <c r="K178" s="58"/>
      <c r="L178" s="61"/>
    </row>
    <row r="179" spans="1:25" ht="17.25" thickBot="1" x14ac:dyDescent="0.3">
      <c r="A179" s="74"/>
      <c r="B179" s="56"/>
      <c r="C179" s="77"/>
      <c r="D179" s="80"/>
      <c r="E179" s="80"/>
      <c r="F179" s="56"/>
      <c r="G179" s="56"/>
      <c r="H179" s="56"/>
      <c r="I179" s="56"/>
      <c r="J179" s="7">
        <v>1</v>
      </c>
      <c r="K179" s="59"/>
      <c r="L179" s="62"/>
      <c r="N179">
        <f t="shared" si="61"/>
        <v>2</v>
      </c>
      <c r="O179">
        <f t="shared" si="62"/>
        <v>12</v>
      </c>
      <c r="P179" t="str">
        <f t="shared" si="63"/>
        <v>同心 (K253)</v>
      </c>
      <c r="Q179" t="str">
        <f t="shared" si="64"/>
        <v>蔡明紹</v>
      </c>
      <c r="R179" t="str">
        <f t="shared" si="65"/>
        <v>呂健威</v>
      </c>
      <c r="S179">
        <f t="shared" si="66"/>
        <v>117</v>
      </c>
      <c r="T179">
        <f t="shared" si="67"/>
        <v>1136</v>
      </c>
      <c r="U179">
        <f t="shared" si="68"/>
        <v>10</v>
      </c>
      <c r="V179" t="str">
        <f t="shared" si="69"/>
        <v>頭位</v>
      </c>
      <c r="W179" t="str">
        <f t="shared" si="70"/>
        <v>4,4,3,2</v>
      </c>
      <c r="X179" t="str">
        <f t="shared" si="71"/>
        <v>01:39.6</v>
      </c>
      <c r="Y179">
        <f t="shared" si="72"/>
        <v>13</v>
      </c>
    </row>
    <row r="180" spans="1:25" x14ac:dyDescent="0.25">
      <c r="A180" s="63">
        <v>2</v>
      </c>
      <c r="B180" s="42">
        <v>12</v>
      </c>
      <c r="C180" s="66" t="s">
        <v>116</v>
      </c>
      <c r="D180" s="69" t="s">
        <v>76</v>
      </c>
      <c r="E180" s="69" t="s">
        <v>92</v>
      </c>
      <c r="F180" s="42">
        <v>117</v>
      </c>
      <c r="G180" s="42">
        <v>1136</v>
      </c>
      <c r="H180" s="42">
        <v>10</v>
      </c>
      <c r="I180" s="42" t="s">
        <v>117</v>
      </c>
      <c r="J180" s="8">
        <v>4</v>
      </c>
      <c r="K180" s="48">
        <v>1.1523148148148148E-3</v>
      </c>
      <c r="L180" s="51">
        <v>13</v>
      </c>
    </row>
    <row r="181" spans="1:25" x14ac:dyDescent="0.25">
      <c r="A181" s="64"/>
      <c r="B181" s="43"/>
      <c r="C181" s="67"/>
      <c r="D181" s="70"/>
      <c r="E181" s="70"/>
      <c r="F181" s="43"/>
      <c r="G181" s="43"/>
      <c r="H181" s="43"/>
      <c r="I181" s="43"/>
      <c r="J181" s="9">
        <v>4</v>
      </c>
      <c r="K181" s="49"/>
      <c r="L181" s="52"/>
    </row>
    <row r="182" spans="1:25" x14ac:dyDescent="0.25">
      <c r="A182" s="64"/>
      <c r="B182" s="43"/>
      <c r="C182" s="67"/>
      <c r="D182" s="70"/>
      <c r="E182" s="70"/>
      <c r="F182" s="43"/>
      <c r="G182" s="43"/>
      <c r="H182" s="43"/>
      <c r="I182" s="43"/>
      <c r="J182" s="9">
        <v>3</v>
      </c>
      <c r="K182" s="49"/>
      <c r="L182" s="52"/>
    </row>
    <row r="183" spans="1:25" ht="17.25" thickBot="1" x14ac:dyDescent="0.3">
      <c r="A183" s="88"/>
      <c r="B183" s="81"/>
      <c r="C183" s="89"/>
      <c r="D183" s="90"/>
      <c r="E183" s="90"/>
      <c r="F183" s="81"/>
      <c r="G183" s="81"/>
      <c r="H183" s="81"/>
      <c r="I183" s="81"/>
      <c r="J183" s="10">
        <v>2</v>
      </c>
      <c r="K183" s="83"/>
      <c r="L183" s="84"/>
      <c r="N183" t="str">
        <f t="shared" si="61"/>
        <v> 3</v>
      </c>
      <c r="O183">
        <f t="shared" si="62"/>
        <v>1</v>
      </c>
      <c r="P183" t="str">
        <f t="shared" si="63"/>
        <v>本領非凡 (J137)</v>
      </c>
      <c r="Q183" t="str">
        <f t="shared" si="64"/>
        <v>何澤堯</v>
      </c>
      <c r="R183" t="str">
        <f t="shared" si="65"/>
        <v>羅富全</v>
      </c>
      <c r="S183">
        <f t="shared" si="66"/>
        <v>135</v>
      </c>
      <c r="T183">
        <f t="shared" si="67"/>
        <v>1060</v>
      </c>
      <c r="U183">
        <f t="shared" si="68"/>
        <v>9</v>
      </c>
      <c r="V183">
        <f t="shared" si="69"/>
        <v>37987</v>
      </c>
      <c r="W183" t="str">
        <f t="shared" si="70"/>
        <v>10,10,8,3</v>
      </c>
      <c r="X183" t="str">
        <f t="shared" si="71"/>
        <v>01:39.7</v>
      </c>
      <c r="Y183">
        <f t="shared" si="72"/>
        <v>15</v>
      </c>
    </row>
    <row r="184" spans="1:25" x14ac:dyDescent="0.25">
      <c r="A184" s="100" t="s">
        <v>61</v>
      </c>
      <c r="B184" s="54">
        <v>1</v>
      </c>
      <c r="C184" s="75" t="s">
        <v>118</v>
      </c>
      <c r="D184" s="78" t="s">
        <v>36</v>
      </c>
      <c r="E184" s="78" t="s">
        <v>74</v>
      </c>
      <c r="F184" s="54">
        <v>135</v>
      </c>
      <c r="G184" s="54">
        <v>1060</v>
      </c>
      <c r="H184" s="54">
        <v>9</v>
      </c>
      <c r="I184" s="85">
        <v>37987</v>
      </c>
      <c r="J184" s="5">
        <v>10</v>
      </c>
      <c r="K184" s="57">
        <v>1.1542824074074073E-3</v>
      </c>
      <c r="L184" s="60">
        <v>15</v>
      </c>
    </row>
    <row r="185" spans="1:25" x14ac:dyDescent="0.25">
      <c r="A185" s="101"/>
      <c r="B185" s="55"/>
      <c r="C185" s="76"/>
      <c r="D185" s="79"/>
      <c r="E185" s="79"/>
      <c r="F185" s="55"/>
      <c r="G185" s="55"/>
      <c r="H185" s="55"/>
      <c r="I185" s="86"/>
      <c r="J185" s="6">
        <v>10</v>
      </c>
      <c r="K185" s="58"/>
      <c r="L185" s="61"/>
    </row>
    <row r="186" spans="1:25" x14ac:dyDescent="0.25">
      <c r="A186" s="101"/>
      <c r="B186" s="55"/>
      <c r="C186" s="76"/>
      <c r="D186" s="79"/>
      <c r="E186" s="79"/>
      <c r="F186" s="55"/>
      <c r="G186" s="55"/>
      <c r="H186" s="55"/>
      <c r="I186" s="86"/>
      <c r="J186" s="6">
        <v>8</v>
      </c>
      <c r="K186" s="58"/>
      <c r="L186" s="61"/>
    </row>
    <row r="187" spans="1:25" ht="17.25" thickBot="1" x14ac:dyDescent="0.3">
      <c r="A187" s="102"/>
      <c r="B187" s="56"/>
      <c r="C187" s="77"/>
      <c r="D187" s="80"/>
      <c r="E187" s="80"/>
      <c r="F187" s="56"/>
      <c r="G187" s="56"/>
      <c r="H187" s="56"/>
      <c r="I187" s="87"/>
      <c r="J187" s="7">
        <v>3</v>
      </c>
      <c r="K187" s="59"/>
      <c r="L187" s="62"/>
      <c r="N187">
        <f t="shared" si="61"/>
        <v>4</v>
      </c>
      <c r="O187">
        <f t="shared" si="62"/>
        <v>10</v>
      </c>
      <c r="P187" t="str">
        <f t="shared" si="63"/>
        <v>揀馬之皇 (K397)</v>
      </c>
      <c r="Q187" t="str">
        <f t="shared" si="64"/>
        <v>潘明輝</v>
      </c>
      <c r="R187" t="str">
        <f t="shared" si="65"/>
        <v>賀賢</v>
      </c>
      <c r="S187">
        <f t="shared" si="66"/>
        <v>120</v>
      </c>
      <c r="T187">
        <f t="shared" si="67"/>
        <v>1049</v>
      </c>
      <c r="U187">
        <f t="shared" si="68"/>
        <v>8</v>
      </c>
      <c r="V187">
        <f t="shared" si="69"/>
        <v>37987</v>
      </c>
      <c r="W187" t="str">
        <f t="shared" si="70"/>
        <v>12,12,12,4</v>
      </c>
      <c r="X187" t="str">
        <f t="shared" si="71"/>
        <v>01:39.7</v>
      </c>
      <c r="Y187">
        <f t="shared" si="72"/>
        <v>44</v>
      </c>
    </row>
    <row r="188" spans="1:25" x14ac:dyDescent="0.25">
      <c r="A188" s="63">
        <v>4</v>
      </c>
      <c r="B188" s="42">
        <v>10</v>
      </c>
      <c r="C188" s="66" t="s">
        <v>119</v>
      </c>
      <c r="D188" s="69" t="s">
        <v>70</v>
      </c>
      <c r="E188" s="69" t="s">
        <v>57</v>
      </c>
      <c r="F188" s="42">
        <v>120</v>
      </c>
      <c r="G188" s="42">
        <v>1049</v>
      </c>
      <c r="H188" s="42">
        <v>8</v>
      </c>
      <c r="I188" s="45">
        <v>37987</v>
      </c>
      <c r="J188" s="8">
        <v>12</v>
      </c>
      <c r="K188" s="48">
        <v>1.1543981481481483E-3</v>
      </c>
      <c r="L188" s="51">
        <v>44</v>
      </c>
    </row>
    <row r="189" spans="1:25" x14ac:dyDescent="0.25">
      <c r="A189" s="64"/>
      <c r="B189" s="43"/>
      <c r="C189" s="67"/>
      <c r="D189" s="70"/>
      <c r="E189" s="70"/>
      <c r="F189" s="43"/>
      <c r="G189" s="43"/>
      <c r="H189" s="43"/>
      <c r="I189" s="46"/>
      <c r="J189" s="9">
        <v>12</v>
      </c>
      <c r="K189" s="49"/>
      <c r="L189" s="52"/>
    </row>
    <row r="190" spans="1:25" x14ac:dyDescent="0.25">
      <c r="A190" s="64"/>
      <c r="B190" s="43"/>
      <c r="C190" s="67"/>
      <c r="D190" s="70"/>
      <c r="E190" s="70"/>
      <c r="F190" s="43"/>
      <c r="G190" s="43"/>
      <c r="H190" s="43"/>
      <c r="I190" s="46"/>
      <c r="J190" s="9">
        <v>12</v>
      </c>
      <c r="K190" s="49"/>
      <c r="L190" s="52"/>
    </row>
    <row r="191" spans="1:25" ht="17.25" thickBot="1" x14ac:dyDescent="0.3">
      <c r="A191" s="88"/>
      <c r="B191" s="81"/>
      <c r="C191" s="89"/>
      <c r="D191" s="90"/>
      <c r="E191" s="90"/>
      <c r="F191" s="81"/>
      <c r="G191" s="81"/>
      <c r="H191" s="81"/>
      <c r="I191" s="82"/>
      <c r="J191" s="10">
        <v>4</v>
      </c>
      <c r="K191" s="83"/>
      <c r="L191" s="84"/>
      <c r="N191">
        <f t="shared" si="61"/>
        <v>5</v>
      </c>
      <c r="O191">
        <f t="shared" si="62"/>
        <v>8</v>
      </c>
      <c r="P191" t="str">
        <f t="shared" si="63"/>
        <v>金駒永騰 (J398)</v>
      </c>
      <c r="Q191" t="str">
        <f t="shared" si="64"/>
        <v>黃智弘</v>
      </c>
      <c r="R191" t="str">
        <f t="shared" si="65"/>
        <v>伍鵬志</v>
      </c>
      <c r="S191">
        <f t="shared" si="66"/>
        <v>120</v>
      </c>
      <c r="T191">
        <f t="shared" si="67"/>
        <v>1203</v>
      </c>
      <c r="U191">
        <f t="shared" si="68"/>
        <v>12</v>
      </c>
      <c r="V191">
        <f t="shared" si="69"/>
        <v>38047</v>
      </c>
      <c r="W191" t="str">
        <f t="shared" si="70"/>
        <v>2,2,2,5</v>
      </c>
      <c r="X191" t="str">
        <f t="shared" si="71"/>
        <v>01:39.8</v>
      </c>
      <c r="Y191">
        <f t="shared" si="72"/>
        <v>5.0999999999999996</v>
      </c>
    </row>
    <row r="192" spans="1:25" x14ac:dyDescent="0.25">
      <c r="A192" s="72">
        <v>5</v>
      </c>
      <c r="B192" s="54">
        <v>8</v>
      </c>
      <c r="C192" s="75" t="s">
        <v>120</v>
      </c>
      <c r="D192" s="78" t="s">
        <v>80</v>
      </c>
      <c r="E192" s="78" t="s">
        <v>113</v>
      </c>
      <c r="F192" s="54">
        <v>120</v>
      </c>
      <c r="G192" s="54">
        <v>1203</v>
      </c>
      <c r="H192" s="54">
        <v>12</v>
      </c>
      <c r="I192" s="85">
        <v>38047</v>
      </c>
      <c r="J192" s="5">
        <v>2</v>
      </c>
      <c r="K192" s="57">
        <v>1.1552083333333334E-3</v>
      </c>
      <c r="L192" s="60">
        <v>5.0999999999999996</v>
      </c>
    </row>
    <row r="193" spans="1:25" x14ac:dyDescent="0.25">
      <c r="A193" s="73"/>
      <c r="B193" s="55"/>
      <c r="C193" s="76"/>
      <c r="D193" s="79"/>
      <c r="E193" s="79"/>
      <c r="F193" s="55"/>
      <c r="G193" s="55"/>
      <c r="H193" s="55"/>
      <c r="I193" s="86"/>
      <c r="J193" s="6">
        <v>2</v>
      </c>
      <c r="K193" s="58"/>
      <c r="L193" s="61"/>
    </row>
    <row r="194" spans="1:25" x14ac:dyDescent="0.25">
      <c r="A194" s="73"/>
      <c r="B194" s="55"/>
      <c r="C194" s="76"/>
      <c r="D194" s="79"/>
      <c r="E194" s="79"/>
      <c r="F194" s="55"/>
      <c r="G194" s="55"/>
      <c r="H194" s="55"/>
      <c r="I194" s="86"/>
      <c r="J194" s="6">
        <v>2</v>
      </c>
      <c r="K194" s="58"/>
      <c r="L194" s="61"/>
    </row>
    <row r="195" spans="1:25" ht="17.25" thickBot="1" x14ac:dyDescent="0.3">
      <c r="A195" s="74"/>
      <c r="B195" s="56"/>
      <c r="C195" s="77"/>
      <c r="D195" s="80"/>
      <c r="E195" s="80"/>
      <c r="F195" s="56"/>
      <c r="G195" s="56"/>
      <c r="H195" s="56"/>
      <c r="I195" s="87"/>
      <c r="J195" s="7">
        <v>5</v>
      </c>
      <c r="K195" s="59"/>
      <c r="L195" s="62"/>
      <c r="N195">
        <f t="shared" si="61"/>
        <v>6</v>
      </c>
      <c r="O195">
        <f t="shared" si="62"/>
        <v>5</v>
      </c>
      <c r="P195" t="str">
        <f t="shared" si="63"/>
        <v>創科群英 (K319)</v>
      </c>
      <c r="Q195" t="str">
        <f t="shared" si="64"/>
        <v>周俊樂</v>
      </c>
      <c r="R195" t="str">
        <f t="shared" si="65"/>
        <v>游達榮</v>
      </c>
      <c r="S195">
        <f t="shared" si="66"/>
        <v>124</v>
      </c>
      <c r="T195">
        <f t="shared" si="67"/>
        <v>1149</v>
      </c>
      <c r="U195">
        <f t="shared" si="68"/>
        <v>3</v>
      </c>
      <c r="V195">
        <f t="shared" si="69"/>
        <v>2</v>
      </c>
      <c r="W195" t="str">
        <f t="shared" si="70"/>
        <v>9,9,9,6</v>
      </c>
      <c r="X195" t="str">
        <f t="shared" si="71"/>
        <v>01:39.8</v>
      </c>
      <c r="Y195">
        <f t="shared" si="72"/>
        <v>5.3</v>
      </c>
    </row>
    <row r="196" spans="1:25" x14ac:dyDescent="0.25">
      <c r="A196" s="63">
        <v>6</v>
      </c>
      <c r="B196" s="42">
        <v>5</v>
      </c>
      <c r="C196" s="66" t="s">
        <v>121</v>
      </c>
      <c r="D196" s="69" t="s">
        <v>19</v>
      </c>
      <c r="E196" s="69" t="s">
        <v>20</v>
      </c>
      <c r="F196" s="42">
        <v>124</v>
      </c>
      <c r="G196" s="42">
        <v>1149</v>
      </c>
      <c r="H196" s="42">
        <v>3</v>
      </c>
      <c r="I196" s="42">
        <v>2</v>
      </c>
      <c r="J196" s="8">
        <v>9</v>
      </c>
      <c r="K196" s="48">
        <v>1.1556712962962961E-3</v>
      </c>
      <c r="L196" s="51">
        <v>5.3</v>
      </c>
    </row>
    <row r="197" spans="1:25" x14ac:dyDescent="0.25">
      <c r="A197" s="64"/>
      <c r="B197" s="43"/>
      <c r="C197" s="67"/>
      <c r="D197" s="70"/>
      <c r="E197" s="70"/>
      <c r="F197" s="43"/>
      <c r="G197" s="43"/>
      <c r="H197" s="43"/>
      <c r="I197" s="43"/>
      <c r="J197" s="9">
        <v>9</v>
      </c>
      <c r="K197" s="49"/>
      <c r="L197" s="52"/>
    </row>
    <row r="198" spans="1:25" x14ac:dyDescent="0.25">
      <c r="A198" s="64"/>
      <c r="B198" s="43"/>
      <c r="C198" s="67"/>
      <c r="D198" s="70"/>
      <c r="E198" s="70"/>
      <c r="F198" s="43"/>
      <c r="G198" s="43"/>
      <c r="H198" s="43"/>
      <c r="I198" s="43"/>
      <c r="J198" s="9">
        <v>9</v>
      </c>
      <c r="K198" s="49"/>
      <c r="L198" s="52"/>
    </row>
    <row r="199" spans="1:25" ht="17.25" thickBot="1" x14ac:dyDescent="0.3">
      <c r="A199" s="88"/>
      <c r="B199" s="81"/>
      <c r="C199" s="89"/>
      <c r="D199" s="90"/>
      <c r="E199" s="90"/>
      <c r="F199" s="81"/>
      <c r="G199" s="81"/>
      <c r="H199" s="81"/>
      <c r="I199" s="81"/>
      <c r="J199" s="10">
        <v>6</v>
      </c>
      <c r="K199" s="83"/>
      <c r="L199" s="84"/>
      <c r="N199">
        <f t="shared" si="61"/>
        <v>7</v>
      </c>
      <c r="O199">
        <f t="shared" si="62"/>
        <v>4</v>
      </c>
      <c r="P199" t="str">
        <f t="shared" si="63"/>
        <v>赤風驪 (L093)</v>
      </c>
      <c r="Q199" t="str">
        <f t="shared" si="64"/>
        <v>霍宏聲</v>
      </c>
      <c r="R199" t="str">
        <f t="shared" si="65"/>
        <v>方嘉柏</v>
      </c>
      <c r="S199">
        <f t="shared" si="66"/>
        <v>128</v>
      </c>
      <c r="T199">
        <f t="shared" si="67"/>
        <v>1013</v>
      </c>
      <c r="U199">
        <f t="shared" si="68"/>
        <v>2</v>
      </c>
      <c r="V199">
        <f t="shared" si="69"/>
        <v>38048</v>
      </c>
      <c r="W199" t="str">
        <f t="shared" si="70"/>
        <v>6,7,7,7</v>
      </c>
      <c r="X199" t="str">
        <f t="shared" si="71"/>
        <v>01:40.0</v>
      </c>
      <c r="Y199">
        <f t="shared" si="72"/>
        <v>9.3000000000000007</v>
      </c>
    </row>
    <row r="200" spans="1:25" x14ac:dyDescent="0.25">
      <c r="A200" s="72">
        <v>7</v>
      </c>
      <c r="B200" s="54">
        <v>4</v>
      </c>
      <c r="C200" s="75" t="s">
        <v>122</v>
      </c>
      <c r="D200" s="78" t="s">
        <v>33</v>
      </c>
      <c r="E200" s="78" t="s">
        <v>37</v>
      </c>
      <c r="F200" s="54">
        <v>128</v>
      </c>
      <c r="G200" s="54">
        <v>1013</v>
      </c>
      <c r="H200" s="54">
        <v>2</v>
      </c>
      <c r="I200" s="85">
        <v>38048</v>
      </c>
      <c r="J200" s="5">
        <v>6</v>
      </c>
      <c r="K200" s="57">
        <v>1.1571759259259259E-3</v>
      </c>
      <c r="L200" s="60">
        <v>9.3000000000000007</v>
      </c>
    </row>
    <row r="201" spans="1:25" x14ac:dyDescent="0.25">
      <c r="A201" s="73"/>
      <c r="B201" s="55"/>
      <c r="C201" s="76"/>
      <c r="D201" s="79"/>
      <c r="E201" s="79"/>
      <c r="F201" s="55"/>
      <c r="G201" s="55"/>
      <c r="H201" s="55"/>
      <c r="I201" s="86"/>
      <c r="J201" s="6">
        <v>7</v>
      </c>
      <c r="K201" s="58"/>
      <c r="L201" s="61"/>
    </row>
    <row r="202" spans="1:25" x14ac:dyDescent="0.25">
      <c r="A202" s="73"/>
      <c r="B202" s="55"/>
      <c r="C202" s="76"/>
      <c r="D202" s="79"/>
      <c r="E202" s="79"/>
      <c r="F202" s="55"/>
      <c r="G202" s="55"/>
      <c r="H202" s="55"/>
      <c r="I202" s="86"/>
      <c r="J202" s="6">
        <v>7</v>
      </c>
      <c r="K202" s="58"/>
      <c r="L202" s="61"/>
    </row>
    <row r="203" spans="1:25" ht="17.25" thickBot="1" x14ac:dyDescent="0.3">
      <c r="A203" s="74"/>
      <c r="B203" s="56"/>
      <c r="C203" s="77"/>
      <c r="D203" s="80"/>
      <c r="E203" s="80"/>
      <c r="F203" s="56"/>
      <c r="G203" s="56"/>
      <c r="H203" s="56"/>
      <c r="I203" s="87"/>
      <c r="J203" s="7">
        <v>7</v>
      </c>
      <c r="K203" s="59"/>
      <c r="L203" s="62"/>
      <c r="N203">
        <f t="shared" si="61"/>
        <v>8</v>
      </c>
      <c r="O203">
        <f t="shared" si="62"/>
        <v>2</v>
      </c>
      <c r="P203" t="str">
        <f t="shared" si="63"/>
        <v>大文豪 (L134)</v>
      </c>
      <c r="Q203" t="str">
        <f t="shared" si="64"/>
        <v>奧爾民</v>
      </c>
      <c r="R203" t="str">
        <f t="shared" si="65"/>
        <v>姚本輝</v>
      </c>
      <c r="S203">
        <f t="shared" si="66"/>
        <v>133</v>
      </c>
      <c r="T203">
        <f t="shared" si="67"/>
        <v>1161</v>
      </c>
      <c r="U203">
        <f t="shared" si="68"/>
        <v>5</v>
      </c>
      <c r="V203">
        <f t="shared" si="69"/>
        <v>37989</v>
      </c>
      <c r="W203" t="str">
        <f t="shared" si="70"/>
        <v>5,5,5,8</v>
      </c>
      <c r="X203" t="str">
        <f t="shared" si="71"/>
        <v>01:40.1</v>
      </c>
      <c r="Y203">
        <f t="shared" si="72"/>
        <v>25</v>
      </c>
    </row>
    <row r="204" spans="1:25" x14ac:dyDescent="0.25">
      <c r="A204" s="63">
        <v>8</v>
      </c>
      <c r="B204" s="42">
        <v>2</v>
      </c>
      <c r="C204" s="66" t="s">
        <v>123</v>
      </c>
      <c r="D204" s="69" t="s">
        <v>51</v>
      </c>
      <c r="E204" s="69" t="s">
        <v>71</v>
      </c>
      <c r="F204" s="42">
        <v>133</v>
      </c>
      <c r="G204" s="42">
        <v>1161</v>
      </c>
      <c r="H204" s="42">
        <v>5</v>
      </c>
      <c r="I204" s="45">
        <v>37989</v>
      </c>
      <c r="J204" s="8">
        <v>5</v>
      </c>
      <c r="K204" s="48">
        <v>1.1579861111111112E-3</v>
      </c>
      <c r="L204" s="51">
        <v>25</v>
      </c>
    </row>
    <row r="205" spans="1:25" x14ac:dyDescent="0.25">
      <c r="A205" s="64"/>
      <c r="B205" s="43"/>
      <c r="C205" s="67"/>
      <c r="D205" s="70"/>
      <c r="E205" s="70"/>
      <c r="F205" s="43"/>
      <c r="G205" s="43"/>
      <c r="H205" s="43"/>
      <c r="I205" s="46"/>
      <c r="J205" s="9">
        <v>5</v>
      </c>
      <c r="K205" s="49"/>
      <c r="L205" s="52"/>
    </row>
    <row r="206" spans="1:25" x14ac:dyDescent="0.25">
      <c r="A206" s="64"/>
      <c r="B206" s="43"/>
      <c r="C206" s="67"/>
      <c r="D206" s="70"/>
      <c r="E206" s="70"/>
      <c r="F206" s="43"/>
      <c r="G206" s="43"/>
      <c r="H206" s="43"/>
      <c r="I206" s="46"/>
      <c r="J206" s="9">
        <v>5</v>
      </c>
      <c r="K206" s="49"/>
      <c r="L206" s="52"/>
    </row>
    <row r="207" spans="1:25" ht="17.25" thickBot="1" x14ac:dyDescent="0.3">
      <c r="A207" s="88"/>
      <c r="B207" s="81"/>
      <c r="C207" s="89"/>
      <c r="D207" s="90"/>
      <c r="E207" s="90"/>
      <c r="F207" s="81"/>
      <c r="G207" s="81"/>
      <c r="H207" s="81"/>
      <c r="I207" s="82"/>
      <c r="J207" s="10">
        <v>8</v>
      </c>
      <c r="K207" s="83"/>
      <c r="L207" s="84"/>
      <c r="N207">
        <f t="shared" si="61"/>
        <v>9</v>
      </c>
      <c r="O207">
        <f t="shared" si="62"/>
        <v>11</v>
      </c>
      <c r="P207" t="str">
        <f t="shared" si="63"/>
        <v>健康小馬 (L046)</v>
      </c>
      <c r="Q207" t="str">
        <f t="shared" si="64"/>
        <v>楊明綸</v>
      </c>
      <c r="R207" t="str">
        <f t="shared" si="65"/>
        <v>鄭俊偉</v>
      </c>
      <c r="S207">
        <f t="shared" si="66"/>
        <v>118</v>
      </c>
      <c r="T207">
        <f t="shared" si="67"/>
        <v>1020</v>
      </c>
      <c r="U207">
        <f t="shared" si="68"/>
        <v>4</v>
      </c>
      <c r="V207">
        <f t="shared" si="69"/>
        <v>37990</v>
      </c>
      <c r="W207" t="str">
        <f t="shared" si="70"/>
        <v>7,6,6,9</v>
      </c>
      <c r="X207" t="str">
        <f t="shared" si="71"/>
        <v>01:40.2</v>
      </c>
      <c r="Y207">
        <f t="shared" si="72"/>
        <v>101</v>
      </c>
    </row>
    <row r="208" spans="1:25" x14ac:dyDescent="0.25">
      <c r="A208" s="72">
        <v>9</v>
      </c>
      <c r="B208" s="54">
        <v>11</v>
      </c>
      <c r="C208" s="75" t="s">
        <v>124</v>
      </c>
      <c r="D208" s="78" t="s">
        <v>42</v>
      </c>
      <c r="E208" s="78" t="s">
        <v>107</v>
      </c>
      <c r="F208" s="54">
        <v>118</v>
      </c>
      <c r="G208" s="54">
        <v>1020</v>
      </c>
      <c r="H208" s="54">
        <v>4</v>
      </c>
      <c r="I208" s="85">
        <v>37990</v>
      </c>
      <c r="J208" s="5">
        <v>7</v>
      </c>
      <c r="K208" s="57">
        <v>1.1596064814814815E-3</v>
      </c>
      <c r="L208" s="60">
        <v>101</v>
      </c>
    </row>
    <row r="209" spans="1:25" x14ac:dyDescent="0.25">
      <c r="A209" s="73"/>
      <c r="B209" s="55"/>
      <c r="C209" s="76"/>
      <c r="D209" s="79"/>
      <c r="E209" s="79"/>
      <c r="F209" s="55"/>
      <c r="G209" s="55"/>
      <c r="H209" s="55"/>
      <c r="I209" s="86"/>
      <c r="J209" s="6">
        <v>6</v>
      </c>
      <c r="K209" s="58"/>
      <c r="L209" s="61"/>
    </row>
    <row r="210" spans="1:25" x14ac:dyDescent="0.25">
      <c r="A210" s="73"/>
      <c r="B210" s="55"/>
      <c r="C210" s="76"/>
      <c r="D210" s="79"/>
      <c r="E210" s="79"/>
      <c r="F210" s="55"/>
      <c r="G210" s="55"/>
      <c r="H210" s="55"/>
      <c r="I210" s="86"/>
      <c r="J210" s="6">
        <v>6</v>
      </c>
      <c r="K210" s="58"/>
      <c r="L210" s="61"/>
    </row>
    <row r="211" spans="1:25" ht="17.25" thickBot="1" x14ac:dyDescent="0.3">
      <c r="A211" s="74"/>
      <c r="B211" s="56"/>
      <c r="C211" s="77"/>
      <c r="D211" s="80"/>
      <c r="E211" s="80"/>
      <c r="F211" s="56"/>
      <c r="G211" s="56"/>
      <c r="H211" s="56"/>
      <c r="I211" s="87"/>
      <c r="J211" s="7">
        <v>9</v>
      </c>
      <c r="K211" s="59"/>
      <c r="L211" s="62"/>
      <c r="N211">
        <f t="shared" si="61"/>
        <v>10</v>
      </c>
      <c r="O211">
        <f t="shared" si="62"/>
        <v>7</v>
      </c>
      <c r="P211" t="str">
        <f t="shared" si="63"/>
        <v>滿洛城 (K374)</v>
      </c>
      <c r="Q211" t="str">
        <f t="shared" si="64"/>
        <v>班德禮</v>
      </c>
      <c r="R211" t="str">
        <f t="shared" si="65"/>
        <v>大衛希斯</v>
      </c>
      <c r="S211">
        <f t="shared" si="66"/>
        <v>123</v>
      </c>
      <c r="T211">
        <f t="shared" si="67"/>
        <v>1047</v>
      </c>
      <c r="U211">
        <f t="shared" si="68"/>
        <v>7</v>
      </c>
      <c r="V211">
        <f t="shared" si="69"/>
        <v>38050</v>
      </c>
      <c r="W211" t="str">
        <f t="shared" si="70"/>
        <v>8,8,10,10</v>
      </c>
      <c r="X211" t="str">
        <f t="shared" si="71"/>
        <v>01:40.3</v>
      </c>
      <c r="Y211">
        <f t="shared" si="72"/>
        <v>10</v>
      </c>
    </row>
    <row r="212" spans="1:25" x14ac:dyDescent="0.25">
      <c r="A212" s="63">
        <v>10</v>
      </c>
      <c r="B212" s="42">
        <v>7</v>
      </c>
      <c r="C212" s="66" t="s">
        <v>125</v>
      </c>
      <c r="D212" s="69" t="s">
        <v>68</v>
      </c>
      <c r="E212" s="69" t="s">
        <v>24</v>
      </c>
      <c r="F212" s="42">
        <v>123</v>
      </c>
      <c r="G212" s="42">
        <v>1047</v>
      </c>
      <c r="H212" s="42">
        <v>7</v>
      </c>
      <c r="I212" s="45">
        <v>38050</v>
      </c>
      <c r="J212" s="8">
        <v>8</v>
      </c>
      <c r="K212" s="48">
        <v>1.1607638888888887E-3</v>
      </c>
      <c r="L212" s="51">
        <v>10</v>
      </c>
    </row>
    <row r="213" spans="1:25" x14ac:dyDescent="0.25">
      <c r="A213" s="64"/>
      <c r="B213" s="43"/>
      <c r="C213" s="67"/>
      <c r="D213" s="70"/>
      <c r="E213" s="70"/>
      <c r="F213" s="43"/>
      <c r="G213" s="43"/>
      <c r="H213" s="43"/>
      <c r="I213" s="46"/>
      <c r="J213" s="9">
        <v>8</v>
      </c>
      <c r="K213" s="49"/>
      <c r="L213" s="52"/>
    </row>
    <row r="214" spans="1:25" x14ac:dyDescent="0.25">
      <c r="A214" s="64"/>
      <c r="B214" s="43"/>
      <c r="C214" s="67"/>
      <c r="D214" s="70"/>
      <c r="E214" s="70"/>
      <c r="F214" s="43"/>
      <c r="G214" s="43"/>
      <c r="H214" s="43"/>
      <c r="I214" s="46"/>
      <c r="J214" s="9">
        <v>10</v>
      </c>
      <c r="K214" s="49"/>
      <c r="L214" s="52"/>
    </row>
    <row r="215" spans="1:25" ht="17.25" thickBot="1" x14ac:dyDescent="0.3">
      <c r="A215" s="88"/>
      <c r="B215" s="81"/>
      <c r="C215" s="89"/>
      <c r="D215" s="90"/>
      <c r="E215" s="90"/>
      <c r="F215" s="81"/>
      <c r="G215" s="81"/>
      <c r="H215" s="81"/>
      <c r="I215" s="82"/>
      <c r="J215" s="10">
        <v>10</v>
      </c>
      <c r="K215" s="83"/>
      <c r="L215" s="84"/>
      <c r="N215">
        <f t="shared" si="61"/>
        <v>11</v>
      </c>
      <c r="O215">
        <f t="shared" si="62"/>
        <v>3</v>
      </c>
      <c r="P215" t="str">
        <f t="shared" si="63"/>
        <v>大學生 (H116)</v>
      </c>
      <c r="Q215" t="str">
        <f t="shared" si="64"/>
        <v>金誠剛</v>
      </c>
      <c r="R215" t="str">
        <f t="shared" si="65"/>
        <v>韋達</v>
      </c>
      <c r="S215">
        <f t="shared" si="66"/>
        <v>128</v>
      </c>
      <c r="T215">
        <f t="shared" si="67"/>
        <v>1224</v>
      </c>
      <c r="U215">
        <f t="shared" si="68"/>
        <v>1</v>
      </c>
      <c r="V215">
        <f t="shared" si="69"/>
        <v>38053</v>
      </c>
      <c r="W215" t="str">
        <f t="shared" si="70"/>
        <v>3,3,4,11</v>
      </c>
      <c r="X215" t="str">
        <f t="shared" si="71"/>
        <v>01:40.8</v>
      </c>
      <c r="Y215">
        <f t="shared" si="72"/>
        <v>9.5</v>
      </c>
    </row>
    <row r="216" spans="1:25" x14ac:dyDescent="0.25">
      <c r="A216" s="72">
        <v>11</v>
      </c>
      <c r="B216" s="54">
        <v>3</v>
      </c>
      <c r="C216" s="75" t="s">
        <v>126</v>
      </c>
      <c r="D216" s="78" t="s">
        <v>54</v>
      </c>
      <c r="E216" s="78" t="s">
        <v>49</v>
      </c>
      <c r="F216" s="54">
        <v>128</v>
      </c>
      <c r="G216" s="54">
        <v>1224</v>
      </c>
      <c r="H216" s="54">
        <v>1</v>
      </c>
      <c r="I216" s="85">
        <v>38053</v>
      </c>
      <c r="J216" s="5">
        <v>3</v>
      </c>
      <c r="K216" s="57">
        <v>1.1665509259259259E-3</v>
      </c>
      <c r="L216" s="60">
        <v>9.5</v>
      </c>
    </row>
    <row r="217" spans="1:25" x14ac:dyDescent="0.25">
      <c r="A217" s="73"/>
      <c r="B217" s="55"/>
      <c r="C217" s="76"/>
      <c r="D217" s="79"/>
      <c r="E217" s="79"/>
      <c r="F217" s="55"/>
      <c r="G217" s="55"/>
      <c r="H217" s="55"/>
      <c r="I217" s="86"/>
      <c r="J217" s="6">
        <v>3</v>
      </c>
      <c r="K217" s="58"/>
      <c r="L217" s="61"/>
    </row>
    <row r="218" spans="1:25" x14ac:dyDescent="0.25">
      <c r="A218" s="73"/>
      <c r="B218" s="55"/>
      <c r="C218" s="76"/>
      <c r="D218" s="79"/>
      <c r="E218" s="79"/>
      <c r="F218" s="55"/>
      <c r="G218" s="55"/>
      <c r="H218" s="55"/>
      <c r="I218" s="86"/>
      <c r="J218" s="6">
        <v>4</v>
      </c>
      <c r="K218" s="58"/>
      <c r="L218" s="61"/>
    </row>
    <row r="219" spans="1:25" ht="17.25" thickBot="1" x14ac:dyDescent="0.3">
      <c r="A219" s="74"/>
      <c r="B219" s="56"/>
      <c r="C219" s="77"/>
      <c r="D219" s="80"/>
      <c r="E219" s="80"/>
      <c r="F219" s="56"/>
      <c r="G219" s="56"/>
      <c r="H219" s="56"/>
      <c r="I219" s="87"/>
      <c r="J219" s="7">
        <v>11</v>
      </c>
      <c r="K219" s="59"/>
      <c r="L219" s="62"/>
      <c r="N219">
        <f t="shared" si="61"/>
        <v>12</v>
      </c>
      <c r="O219">
        <f t="shared" si="62"/>
        <v>9</v>
      </c>
      <c r="P219" t="str">
        <f t="shared" si="63"/>
        <v>爆竹 (L065)</v>
      </c>
      <c r="Q219" t="str">
        <f t="shared" si="64"/>
        <v>田泰安</v>
      </c>
      <c r="R219" t="str">
        <f t="shared" si="65"/>
        <v>告東尼</v>
      </c>
      <c r="S219">
        <f t="shared" si="66"/>
        <v>122</v>
      </c>
      <c r="T219">
        <f t="shared" si="67"/>
        <v>1095</v>
      </c>
      <c r="U219">
        <f t="shared" si="68"/>
        <v>11</v>
      </c>
      <c r="V219">
        <f t="shared" si="69"/>
        <v>37996</v>
      </c>
      <c r="W219" t="str">
        <f t="shared" si="70"/>
        <v>1,1,1,12</v>
      </c>
      <c r="X219" t="str">
        <f t="shared" si="71"/>
        <v>01:41.2</v>
      </c>
      <c r="Y219">
        <f t="shared" si="72"/>
        <v>5</v>
      </c>
    </row>
    <row r="220" spans="1:25" x14ac:dyDescent="0.25">
      <c r="A220" s="63">
        <v>12</v>
      </c>
      <c r="B220" s="42">
        <v>9</v>
      </c>
      <c r="C220" s="66" t="s">
        <v>127</v>
      </c>
      <c r="D220" s="69" t="s">
        <v>27</v>
      </c>
      <c r="E220" s="69" t="s">
        <v>66</v>
      </c>
      <c r="F220" s="42">
        <v>122</v>
      </c>
      <c r="G220" s="42">
        <v>1095</v>
      </c>
      <c r="H220" s="42">
        <v>11</v>
      </c>
      <c r="I220" s="45">
        <v>37996</v>
      </c>
      <c r="J220" s="8">
        <v>1</v>
      </c>
      <c r="K220" s="48">
        <v>1.170949074074074E-3</v>
      </c>
      <c r="L220" s="51">
        <v>5</v>
      </c>
    </row>
    <row r="221" spans="1:25" x14ac:dyDescent="0.25">
      <c r="A221" s="64"/>
      <c r="B221" s="43"/>
      <c r="C221" s="67"/>
      <c r="D221" s="70"/>
      <c r="E221" s="70"/>
      <c r="F221" s="43"/>
      <c r="G221" s="43"/>
      <c r="H221" s="43"/>
      <c r="I221" s="46"/>
      <c r="J221" s="9">
        <v>1</v>
      </c>
      <c r="K221" s="49"/>
      <c r="L221" s="52"/>
    </row>
    <row r="222" spans="1:25" x14ac:dyDescent="0.25">
      <c r="A222" s="64"/>
      <c r="B222" s="43"/>
      <c r="C222" s="67"/>
      <c r="D222" s="70"/>
      <c r="E222" s="70"/>
      <c r="F222" s="43"/>
      <c r="G222" s="43"/>
      <c r="H222" s="43"/>
      <c r="I222" s="46"/>
      <c r="J222" s="9">
        <v>1</v>
      </c>
      <c r="K222" s="49"/>
      <c r="L222" s="52"/>
    </row>
    <row r="223" spans="1:25" ht="17.25" thickBot="1" x14ac:dyDescent="0.3">
      <c r="A223" s="65"/>
      <c r="B223" s="44"/>
      <c r="C223" s="68"/>
      <c r="D223" s="71"/>
      <c r="E223" s="71"/>
      <c r="F223" s="44"/>
      <c r="G223" s="44"/>
      <c r="H223" s="44"/>
      <c r="I223" s="47"/>
      <c r="J223" s="11">
        <v>12</v>
      </c>
      <c r="K223" s="50"/>
      <c r="L223" s="53"/>
      <c r="N223" t="str">
        <f t="shared" si="61"/>
        <v>名次</v>
      </c>
      <c r="O223" t="str">
        <f t="shared" si="62"/>
        <v>馬號</v>
      </c>
      <c r="P223" t="str">
        <f t="shared" si="63"/>
        <v>馬名</v>
      </c>
      <c r="Q223" t="str">
        <f t="shared" si="64"/>
        <v>騎師</v>
      </c>
      <c r="R223" t="str">
        <f t="shared" si="65"/>
        <v>練馬師</v>
      </c>
      <c r="S223" t="str">
        <f t="shared" si="66"/>
        <v>實際</v>
      </c>
      <c r="T223" t="str">
        <f t="shared" si="67"/>
        <v>排位</v>
      </c>
      <c r="U223" t="str">
        <f t="shared" si="68"/>
        <v>檔位</v>
      </c>
      <c r="V223" t="str">
        <f t="shared" si="69"/>
        <v>頭馬</v>
      </c>
      <c r="W223" t="str">
        <f t="shared" si="70"/>
        <v>沿途,走位,4,2</v>
      </c>
      <c r="X223" t="str">
        <f t="shared" si="71"/>
        <v>完成</v>
      </c>
      <c r="Y223" t="str">
        <f t="shared" si="72"/>
        <v>獨贏</v>
      </c>
    </row>
    <row r="224" spans="1:25" ht="17.25" thickTop="1" x14ac:dyDescent="0.25">
      <c r="A224" s="38" t="s">
        <v>0</v>
      </c>
      <c r="B224" s="40" t="s">
        <v>1</v>
      </c>
      <c r="C224" s="40" t="s">
        <v>2</v>
      </c>
      <c r="D224" s="40" t="s">
        <v>3</v>
      </c>
      <c r="E224" s="40" t="s">
        <v>4</v>
      </c>
      <c r="F224" s="1" t="s">
        <v>5</v>
      </c>
      <c r="G224" s="1" t="s">
        <v>6</v>
      </c>
      <c r="H224" s="40" t="s">
        <v>7</v>
      </c>
      <c r="I224" s="1" t="s">
        <v>8</v>
      </c>
      <c r="J224" s="1" t="s">
        <v>9</v>
      </c>
      <c r="K224" s="1" t="s">
        <v>10</v>
      </c>
      <c r="L224" s="2" t="s">
        <v>11</v>
      </c>
    </row>
    <row r="225" spans="1:25" ht="17.25" thickBot="1" x14ac:dyDescent="0.3">
      <c r="A225" s="39"/>
      <c r="B225" s="41"/>
      <c r="C225" s="41"/>
      <c r="D225" s="41"/>
      <c r="E225" s="41"/>
      <c r="F225" s="3" t="s">
        <v>12</v>
      </c>
      <c r="G225" s="3" t="s">
        <v>13</v>
      </c>
      <c r="H225" s="41"/>
      <c r="I225" s="3" t="s">
        <v>14</v>
      </c>
      <c r="J225" s="3" t="s">
        <v>15</v>
      </c>
      <c r="K225" s="3" t="s">
        <v>16</v>
      </c>
      <c r="L225" s="4" t="s">
        <v>17</v>
      </c>
      <c r="N225">
        <f t="shared" si="61"/>
        <v>1</v>
      </c>
      <c r="O225">
        <f t="shared" si="62"/>
        <v>11</v>
      </c>
      <c r="P225" t="str">
        <f t="shared" si="63"/>
        <v>盈妍威楓 (J300)</v>
      </c>
      <c r="Q225" t="str">
        <f t="shared" si="64"/>
        <v>袁幸堯</v>
      </c>
      <c r="R225" t="str">
        <f t="shared" si="65"/>
        <v>伍鵬志</v>
      </c>
      <c r="S225">
        <f t="shared" si="66"/>
        <v>111</v>
      </c>
      <c r="T225">
        <f t="shared" si="67"/>
        <v>1113</v>
      </c>
      <c r="U225">
        <f t="shared" si="68"/>
        <v>9</v>
      </c>
      <c r="V225" t="str">
        <f t="shared" si="69"/>
        <v>---</v>
      </c>
      <c r="W225" t="str">
        <f t="shared" si="70"/>
        <v>4,2,1,8</v>
      </c>
      <c r="X225" t="str">
        <f t="shared" si="71"/>
        <v>01:09.6</v>
      </c>
      <c r="Y225">
        <f t="shared" si="72"/>
        <v>8.1</v>
      </c>
    </row>
    <row r="226" spans="1:25" x14ac:dyDescent="0.25">
      <c r="A226" s="72">
        <v>1</v>
      </c>
      <c r="B226" s="54">
        <v>11</v>
      </c>
      <c r="C226" s="75" t="s">
        <v>128</v>
      </c>
      <c r="D226" s="78" t="s">
        <v>45</v>
      </c>
      <c r="E226" s="78" t="s">
        <v>113</v>
      </c>
      <c r="F226" s="54">
        <v>111</v>
      </c>
      <c r="G226" s="54">
        <v>1113</v>
      </c>
      <c r="H226" s="54">
        <v>9</v>
      </c>
      <c r="I226" s="54" t="s">
        <v>21</v>
      </c>
      <c r="J226" s="5">
        <v>4</v>
      </c>
      <c r="K226" s="57">
        <v>8.0578703703703704E-4</v>
      </c>
      <c r="L226" s="60">
        <v>8.1</v>
      </c>
    </row>
    <row r="227" spans="1:25" x14ac:dyDescent="0.25">
      <c r="A227" s="73"/>
      <c r="B227" s="55"/>
      <c r="C227" s="76"/>
      <c r="D227" s="79"/>
      <c r="E227" s="79"/>
      <c r="F227" s="55"/>
      <c r="G227" s="55"/>
      <c r="H227" s="55"/>
      <c r="I227" s="55"/>
      <c r="J227" s="6">
        <v>2</v>
      </c>
      <c r="K227" s="58"/>
      <c r="L227" s="61"/>
    </row>
    <row r="228" spans="1:25" ht="17.25" thickBot="1" x14ac:dyDescent="0.3">
      <c r="A228" s="74"/>
      <c r="B228" s="56"/>
      <c r="C228" s="77"/>
      <c r="D228" s="80"/>
      <c r="E228" s="80"/>
      <c r="F228" s="56"/>
      <c r="G228" s="56"/>
      <c r="H228" s="56"/>
      <c r="I228" s="56"/>
      <c r="J228" s="7">
        <v>1</v>
      </c>
      <c r="K228" s="59"/>
      <c r="L228" s="62"/>
      <c r="N228">
        <f t="shared" si="61"/>
        <v>2</v>
      </c>
      <c r="O228">
        <f t="shared" si="62"/>
        <v>12</v>
      </c>
      <c r="P228" t="str">
        <f t="shared" si="63"/>
        <v>丞匡掠影 (L168)</v>
      </c>
      <c r="Q228" t="str">
        <f t="shared" si="64"/>
        <v>鍾易禮</v>
      </c>
      <c r="R228" t="str">
        <f t="shared" si="65"/>
        <v>徐雨石</v>
      </c>
      <c r="S228">
        <f t="shared" si="66"/>
        <v>118</v>
      </c>
      <c r="T228">
        <f t="shared" si="67"/>
        <v>1247</v>
      </c>
      <c r="U228">
        <f t="shared" si="68"/>
        <v>6</v>
      </c>
      <c r="V228">
        <f t="shared" si="69"/>
        <v>46054</v>
      </c>
      <c r="W228" t="str">
        <f t="shared" si="70"/>
        <v>8,8,2,5</v>
      </c>
      <c r="X228" t="str">
        <f t="shared" si="71"/>
        <v>01:09.7</v>
      </c>
      <c r="Y228">
        <f t="shared" si="72"/>
        <v>3.5</v>
      </c>
    </row>
    <row r="229" spans="1:25" x14ac:dyDescent="0.25">
      <c r="A229" s="63">
        <v>2</v>
      </c>
      <c r="B229" s="42">
        <v>12</v>
      </c>
      <c r="C229" s="66" t="s">
        <v>129</v>
      </c>
      <c r="D229" s="69" t="s">
        <v>65</v>
      </c>
      <c r="E229" s="69" t="s">
        <v>46</v>
      </c>
      <c r="F229" s="42">
        <v>118</v>
      </c>
      <c r="G229" s="42">
        <v>1247</v>
      </c>
      <c r="H229" s="42">
        <v>6</v>
      </c>
      <c r="I229" s="106">
        <v>46054</v>
      </c>
      <c r="J229" s="8">
        <v>8</v>
      </c>
      <c r="K229" s="48">
        <v>8.0671296296296296E-4</v>
      </c>
      <c r="L229" s="51">
        <v>3.5</v>
      </c>
    </row>
    <row r="230" spans="1:25" x14ac:dyDescent="0.25">
      <c r="A230" s="64"/>
      <c r="B230" s="43"/>
      <c r="C230" s="67"/>
      <c r="D230" s="70"/>
      <c r="E230" s="70"/>
      <c r="F230" s="43"/>
      <c r="G230" s="43"/>
      <c r="H230" s="43"/>
      <c r="I230" s="107"/>
      <c r="J230" s="9">
        <v>8</v>
      </c>
      <c r="K230" s="49"/>
      <c r="L230" s="52"/>
    </row>
    <row r="231" spans="1:25" ht="17.25" thickBot="1" x14ac:dyDescent="0.3">
      <c r="A231" s="88"/>
      <c r="B231" s="81"/>
      <c r="C231" s="89"/>
      <c r="D231" s="90"/>
      <c r="E231" s="90"/>
      <c r="F231" s="81"/>
      <c r="G231" s="81"/>
      <c r="H231" s="81"/>
      <c r="I231" s="108"/>
      <c r="J231" s="10">
        <v>2</v>
      </c>
      <c r="K231" s="83"/>
      <c r="L231" s="84"/>
      <c r="N231">
        <f t="shared" si="61"/>
        <v>3</v>
      </c>
      <c r="O231">
        <f t="shared" si="62"/>
        <v>8</v>
      </c>
      <c r="P231" t="str">
        <f t="shared" si="63"/>
        <v>首飾悟空 (K314)</v>
      </c>
      <c r="Q231" t="str">
        <f t="shared" si="64"/>
        <v>艾兆禮</v>
      </c>
      <c r="R231" t="str">
        <f t="shared" si="65"/>
        <v>蔡約翰</v>
      </c>
      <c r="S231">
        <f t="shared" si="66"/>
        <v>124</v>
      </c>
      <c r="T231">
        <f t="shared" si="67"/>
        <v>1175</v>
      </c>
      <c r="U231">
        <f t="shared" si="68"/>
        <v>2</v>
      </c>
      <c r="V231">
        <f t="shared" si="69"/>
        <v>46054</v>
      </c>
      <c r="W231" t="str">
        <f t="shared" si="70"/>
        <v>5,5,3,2</v>
      </c>
      <c r="X231" t="str">
        <f t="shared" si="71"/>
        <v>01:09.7</v>
      </c>
      <c r="Y231">
        <f t="shared" si="72"/>
        <v>5.9</v>
      </c>
    </row>
    <row r="232" spans="1:25" x14ac:dyDescent="0.25">
      <c r="A232" s="72">
        <v>3</v>
      </c>
      <c r="B232" s="54">
        <v>8</v>
      </c>
      <c r="C232" s="75" t="s">
        <v>130</v>
      </c>
      <c r="D232" s="78" t="s">
        <v>39</v>
      </c>
      <c r="E232" s="78" t="s">
        <v>40</v>
      </c>
      <c r="F232" s="54">
        <v>124</v>
      </c>
      <c r="G232" s="54">
        <v>1175</v>
      </c>
      <c r="H232" s="54">
        <v>2</v>
      </c>
      <c r="I232" s="103">
        <v>46054</v>
      </c>
      <c r="J232" s="5">
        <v>5</v>
      </c>
      <c r="K232" s="57">
        <v>8.0706018518518518E-4</v>
      </c>
      <c r="L232" s="60">
        <v>5.9</v>
      </c>
    </row>
    <row r="233" spans="1:25" x14ac:dyDescent="0.25">
      <c r="A233" s="73"/>
      <c r="B233" s="55"/>
      <c r="C233" s="76"/>
      <c r="D233" s="79"/>
      <c r="E233" s="79"/>
      <c r="F233" s="55"/>
      <c r="G233" s="55"/>
      <c r="H233" s="55"/>
      <c r="I233" s="104"/>
      <c r="J233" s="6">
        <v>5</v>
      </c>
      <c r="K233" s="58"/>
      <c r="L233" s="61"/>
    </row>
    <row r="234" spans="1:25" ht="17.25" thickBot="1" x14ac:dyDescent="0.3">
      <c r="A234" s="74"/>
      <c r="B234" s="56"/>
      <c r="C234" s="77"/>
      <c r="D234" s="80"/>
      <c r="E234" s="80"/>
      <c r="F234" s="56"/>
      <c r="G234" s="56"/>
      <c r="H234" s="56"/>
      <c r="I234" s="105"/>
      <c r="J234" s="7">
        <v>3</v>
      </c>
      <c r="K234" s="59"/>
      <c r="L234" s="62"/>
      <c r="N234" t="str">
        <f t="shared" si="61"/>
        <v> 4</v>
      </c>
      <c r="O234">
        <f t="shared" si="62"/>
        <v>1</v>
      </c>
      <c r="P234" t="str">
        <f t="shared" si="63"/>
        <v>東來欣賞 (J290)</v>
      </c>
      <c r="Q234" t="str">
        <f t="shared" si="64"/>
        <v>周俊樂</v>
      </c>
      <c r="R234" t="str">
        <f t="shared" si="65"/>
        <v>告東尼</v>
      </c>
      <c r="S234">
        <f t="shared" si="66"/>
        <v>132</v>
      </c>
      <c r="T234">
        <f t="shared" si="67"/>
        <v>1121</v>
      </c>
      <c r="U234">
        <f t="shared" si="68"/>
        <v>4</v>
      </c>
      <c r="V234">
        <f t="shared" si="69"/>
        <v>37987</v>
      </c>
      <c r="W234" t="str">
        <f t="shared" si="70"/>
        <v>2,3,4,6</v>
      </c>
      <c r="X234" t="str">
        <f t="shared" si="71"/>
        <v>01:09.8</v>
      </c>
      <c r="Y234">
        <f t="shared" si="72"/>
        <v>5.6</v>
      </c>
    </row>
    <row r="235" spans="1:25" x14ac:dyDescent="0.25">
      <c r="A235" s="97" t="s">
        <v>84</v>
      </c>
      <c r="B235" s="42">
        <v>1</v>
      </c>
      <c r="C235" s="66" t="s">
        <v>131</v>
      </c>
      <c r="D235" s="69" t="s">
        <v>19</v>
      </c>
      <c r="E235" s="69" t="s">
        <v>66</v>
      </c>
      <c r="F235" s="42">
        <v>132</v>
      </c>
      <c r="G235" s="42">
        <v>1121</v>
      </c>
      <c r="H235" s="42">
        <v>4</v>
      </c>
      <c r="I235" s="45">
        <v>37987</v>
      </c>
      <c r="J235" s="8">
        <v>2</v>
      </c>
      <c r="K235" s="48">
        <v>8.079861111111111E-4</v>
      </c>
      <c r="L235" s="51">
        <v>5.6</v>
      </c>
    </row>
    <row r="236" spans="1:25" x14ac:dyDescent="0.25">
      <c r="A236" s="98"/>
      <c r="B236" s="43"/>
      <c r="C236" s="67"/>
      <c r="D236" s="70"/>
      <c r="E236" s="70"/>
      <c r="F236" s="43"/>
      <c r="G236" s="43"/>
      <c r="H236" s="43"/>
      <c r="I236" s="46"/>
      <c r="J236" s="9">
        <v>3</v>
      </c>
      <c r="K236" s="49"/>
      <c r="L236" s="52"/>
    </row>
    <row r="237" spans="1:25" ht="17.25" thickBot="1" x14ac:dyDescent="0.3">
      <c r="A237" s="99"/>
      <c r="B237" s="81"/>
      <c r="C237" s="89"/>
      <c r="D237" s="90"/>
      <c r="E237" s="90"/>
      <c r="F237" s="81"/>
      <c r="G237" s="81"/>
      <c r="H237" s="81"/>
      <c r="I237" s="82"/>
      <c r="J237" s="10">
        <v>4</v>
      </c>
      <c r="K237" s="83"/>
      <c r="L237" s="84"/>
      <c r="N237">
        <f t="shared" ref="N237:N300" si="73">A238</f>
        <v>5</v>
      </c>
      <c r="O237">
        <f t="shared" ref="O237:O300" si="74">B238</f>
        <v>2</v>
      </c>
      <c r="P237" t="str">
        <f t="shared" ref="P237:P300" si="75">C238</f>
        <v>乘數表 (K352)</v>
      </c>
      <c r="Q237" t="str">
        <f t="shared" ref="Q237:Q300" si="76">D238</f>
        <v>艾道拿</v>
      </c>
      <c r="R237" t="str">
        <f t="shared" ref="R237:R300" si="77">E238</f>
        <v>羅富全</v>
      </c>
      <c r="S237">
        <f t="shared" ref="S237:S300" si="78">F238</f>
        <v>134</v>
      </c>
      <c r="T237">
        <f t="shared" ref="T237:T300" si="79">G238</f>
        <v>1113</v>
      </c>
      <c r="U237">
        <f t="shared" ref="U237:U300" si="80">H238</f>
        <v>3</v>
      </c>
      <c r="V237">
        <f t="shared" ref="V237:V300" si="81">I238</f>
        <v>37987</v>
      </c>
      <c r="W237" t="str">
        <f t="shared" ref="W237:W300" si="82">J238&amp;","&amp;J239&amp;","&amp;J240&amp;","&amp;J241</f>
        <v>6,6,5,1</v>
      </c>
      <c r="X237" t="str">
        <f t="shared" ref="X237:X300" si="83">TEXT(K238, "mm:ss.0")</f>
        <v>01:09.8</v>
      </c>
      <c r="Y237">
        <f t="shared" ref="Y237:Y300" si="84">L238</f>
        <v>14</v>
      </c>
    </row>
    <row r="238" spans="1:25" x14ac:dyDescent="0.25">
      <c r="A238" s="72">
        <v>5</v>
      </c>
      <c r="B238" s="54">
        <v>2</v>
      </c>
      <c r="C238" s="75" t="s">
        <v>132</v>
      </c>
      <c r="D238" s="78" t="s">
        <v>63</v>
      </c>
      <c r="E238" s="78" t="s">
        <v>74</v>
      </c>
      <c r="F238" s="54">
        <v>134</v>
      </c>
      <c r="G238" s="54">
        <v>1113</v>
      </c>
      <c r="H238" s="54">
        <v>3</v>
      </c>
      <c r="I238" s="85">
        <v>37987</v>
      </c>
      <c r="J238" s="5">
        <v>6</v>
      </c>
      <c r="K238" s="57">
        <v>8.0810185185185173E-4</v>
      </c>
      <c r="L238" s="60">
        <v>14</v>
      </c>
    </row>
    <row r="239" spans="1:25" x14ac:dyDescent="0.25">
      <c r="A239" s="73"/>
      <c r="B239" s="55"/>
      <c r="C239" s="76"/>
      <c r="D239" s="79"/>
      <c r="E239" s="79"/>
      <c r="F239" s="55"/>
      <c r="G239" s="55"/>
      <c r="H239" s="55"/>
      <c r="I239" s="86"/>
      <c r="J239" s="6">
        <v>6</v>
      </c>
      <c r="K239" s="58"/>
      <c r="L239" s="61"/>
    </row>
    <row r="240" spans="1:25" ht="17.25" thickBot="1" x14ac:dyDescent="0.3">
      <c r="A240" s="74"/>
      <c r="B240" s="56"/>
      <c r="C240" s="77"/>
      <c r="D240" s="80"/>
      <c r="E240" s="80"/>
      <c r="F240" s="56"/>
      <c r="G240" s="56"/>
      <c r="H240" s="56"/>
      <c r="I240" s="87"/>
      <c r="J240" s="7">
        <v>5</v>
      </c>
      <c r="K240" s="59"/>
      <c r="L240" s="62"/>
      <c r="N240">
        <f t="shared" si="73"/>
        <v>6</v>
      </c>
      <c r="O240">
        <f t="shared" si="74"/>
        <v>7</v>
      </c>
      <c r="P240" t="str">
        <f t="shared" si="75"/>
        <v>加州本事 (J370)</v>
      </c>
      <c r="Q240" t="str">
        <f t="shared" si="76"/>
        <v>蔡明紹</v>
      </c>
      <c r="R240" t="str">
        <f t="shared" si="77"/>
        <v>巫偉傑</v>
      </c>
      <c r="S240">
        <f t="shared" si="78"/>
        <v>124</v>
      </c>
      <c r="T240">
        <f t="shared" si="79"/>
        <v>1079</v>
      </c>
      <c r="U240">
        <f t="shared" si="80"/>
        <v>11</v>
      </c>
      <c r="V240">
        <f t="shared" si="81"/>
        <v>37257</v>
      </c>
      <c r="W240" t="str">
        <f t="shared" si="82"/>
        <v>1,1,6,11</v>
      </c>
      <c r="X240" t="str">
        <f t="shared" si="83"/>
        <v>01:09.9</v>
      </c>
      <c r="Y240">
        <f t="shared" si="84"/>
        <v>17</v>
      </c>
    </row>
    <row r="241" spans="1:25" x14ac:dyDescent="0.25">
      <c r="A241" s="63">
        <v>6</v>
      </c>
      <c r="B241" s="42">
        <v>7</v>
      </c>
      <c r="C241" s="66" t="s">
        <v>133</v>
      </c>
      <c r="D241" s="69" t="s">
        <v>76</v>
      </c>
      <c r="E241" s="69" t="s">
        <v>28</v>
      </c>
      <c r="F241" s="42">
        <v>124</v>
      </c>
      <c r="G241" s="42">
        <v>1079</v>
      </c>
      <c r="H241" s="42">
        <v>11</v>
      </c>
      <c r="I241" s="45">
        <v>37257</v>
      </c>
      <c r="J241" s="8">
        <v>1</v>
      </c>
      <c r="K241" s="48">
        <v>8.085648148148148E-4</v>
      </c>
      <c r="L241" s="51">
        <v>17</v>
      </c>
    </row>
    <row r="242" spans="1:25" x14ac:dyDescent="0.25">
      <c r="A242" s="64"/>
      <c r="B242" s="43"/>
      <c r="C242" s="67"/>
      <c r="D242" s="70"/>
      <c r="E242" s="70"/>
      <c r="F242" s="43"/>
      <c r="G242" s="43"/>
      <c r="H242" s="43"/>
      <c r="I242" s="46"/>
      <c r="J242" s="9">
        <v>1</v>
      </c>
      <c r="K242" s="49"/>
      <c r="L242" s="52"/>
    </row>
    <row r="243" spans="1:25" ht="17.25" thickBot="1" x14ac:dyDescent="0.3">
      <c r="A243" s="88"/>
      <c r="B243" s="81"/>
      <c r="C243" s="89"/>
      <c r="D243" s="90"/>
      <c r="E243" s="90"/>
      <c r="F243" s="81"/>
      <c r="G243" s="81"/>
      <c r="H243" s="81"/>
      <c r="I243" s="82"/>
      <c r="J243" s="10">
        <v>6</v>
      </c>
      <c r="K243" s="83"/>
      <c r="L243" s="84"/>
      <c r="N243">
        <f t="shared" si="73"/>
        <v>7</v>
      </c>
      <c r="O243">
        <f t="shared" si="74"/>
        <v>3</v>
      </c>
      <c r="P243" t="str">
        <f t="shared" si="75"/>
        <v>天星 (K234)</v>
      </c>
      <c r="Q243" t="str">
        <f t="shared" si="76"/>
        <v>潘頓</v>
      </c>
      <c r="R243" t="str">
        <f t="shared" si="77"/>
        <v>大衛希斯</v>
      </c>
      <c r="S243">
        <f t="shared" si="78"/>
        <v>133</v>
      </c>
      <c r="T243">
        <f t="shared" si="79"/>
        <v>1102</v>
      </c>
      <c r="U243">
        <f t="shared" si="80"/>
        <v>10</v>
      </c>
      <c r="V243">
        <f t="shared" si="81"/>
        <v>37258</v>
      </c>
      <c r="W243" t="str">
        <f t="shared" si="82"/>
        <v>11,11,7,10</v>
      </c>
      <c r="X243" t="str">
        <f t="shared" si="83"/>
        <v>01:10.0</v>
      </c>
      <c r="Y243">
        <f t="shared" si="84"/>
        <v>9.3000000000000007</v>
      </c>
    </row>
    <row r="244" spans="1:25" x14ac:dyDescent="0.25">
      <c r="A244" s="72">
        <v>7</v>
      </c>
      <c r="B244" s="54">
        <v>3</v>
      </c>
      <c r="C244" s="75" t="s">
        <v>134</v>
      </c>
      <c r="D244" s="78" t="s">
        <v>23</v>
      </c>
      <c r="E244" s="78" t="s">
        <v>24</v>
      </c>
      <c r="F244" s="54">
        <v>133</v>
      </c>
      <c r="G244" s="54">
        <v>1102</v>
      </c>
      <c r="H244" s="54">
        <v>10</v>
      </c>
      <c r="I244" s="85">
        <v>37258</v>
      </c>
      <c r="J244" s="5">
        <v>11</v>
      </c>
      <c r="K244" s="57">
        <v>8.1053240740740738E-4</v>
      </c>
      <c r="L244" s="60">
        <v>9.3000000000000007</v>
      </c>
    </row>
    <row r="245" spans="1:25" x14ac:dyDescent="0.25">
      <c r="A245" s="73"/>
      <c r="B245" s="55"/>
      <c r="C245" s="76"/>
      <c r="D245" s="79"/>
      <c r="E245" s="79"/>
      <c r="F245" s="55"/>
      <c r="G245" s="55"/>
      <c r="H245" s="55"/>
      <c r="I245" s="86"/>
      <c r="J245" s="6">
        <v>11</v>
      </c>
      <c r="K245" s="58"/>
      <c r="L245" s="61"/>
    </row>
    <row r="246" spans="1:25" ht="17.25" thickBot="1" x14ac:dyDescent="0.3">
      <c r="A246" s="74"/>
      <c r="B246" s="56"/>
      <c r="C246" s="77"/>
      <c r="D246" s="80"/>
      <c r="E246" s="80"/>
      <c r="F246" s="56"/>
      <c r="G246" s="56"/>
      <c r="H246" s="56"/>
      <c r="I246" s="87"/>
      <c r="J246" s="7">
        <v>7</v>
      </c>
      <c r="K246" s="59"/>
      <c r="L246" s="62"/>
      <c r="N246">
        <f t="shared" si="73"/>
        <v>8</v>
      </c>
      <c r="O246">
        <f t="shared" si="74"/>
        <v>6</v>
      </c>
      <c r="P246" t="str">
        <f t="shared" si="75"/>
        <v>電源之駒 (E301)</v>
      </c>
      <c r="Q246" t="str">
        <f t="shared" si="76"/>
        <v>梁家俊</v>
      </c>
      <c r="R246" t="str">
        <f t="shared" si="77"/>
        <v>廖康銘</v>
      </c>
      <c r="S246">
        <f t="shared" si="78"/>
        <v>127</v>
      </c>
      <c r="T246">
        <f t="shared" si="79"/>
        <v>1101</v>
      </c>
      <c r="U246">
        <f t="shared" si="80"/>
        <v>7</v>
      </c>
      <c r="V246">
        <f t="shared" si="81"/>
        <v>37258</v>
      </c>
      <c r="W246" t="str">
        <f t="shared" si="82"/>
        <v>10,9,8,7</v>
      </c>
      <c r="X246" t="str">
        <f t="shared" si="83"/>
        <v>01:10.0</v>
      </c>
      <c r="Y246">
        <f t="shared" si="84"/>
        <v>19</v>
      </c>
    </row>
    <row r="247" spans="1:25" x14ac:dyDescent="0.25">
      <c r="A247" s="63">
        <v>8</v>
      </c>
      <c r="B247" s="42">
        <v>6</v>
      </c>
      <c r="C247" s="66" t="s">
        <v>135</v>
      </c>
      <c r="D247" s="69" t="s">
        <v>48</v>
      </c>
      <c r="E247" s="69" t="s">
        <v>34</v>
      </c>
      <c r="F247" s="42">
        <v>127</v>
      </c>
      <c r="G247" s="42">
        <v>1101</v>
      </c>
      <c r="H247" s="42">
        <v>7</v>
      </c>
      <c r="I247" s="45">
        <v>37258</v>
      </c>
      <c r="J247" s="8">
        <v>10</v>
      </c>
      <c r="K247" s="48">
        <v>8.1064814814814801E-4</v>
      </c>
      <c r="L247" s="51">
        <v>19</v>
      </c>
    </row>
    <row r="248" spans="1:25" x14ac:dyDescent="0.25">
      <c r="A248" s="64"/>
      <c r="B248" s="43"/>
      <c r="C248" s="67"/>
      <c r="D248" s="70"/>
      <c r="E248" s="70"/>
      <c r="F248" s="43"/>
      <c r="G248" s="43"/>
      <c r="H248" s="43"/>
      <c r="I248" s="46"/>
      <c r="J248" s="9">
        <v>9</v>
      </c>
      <c r="K248" s="49"/>
      <c r="L248" s="52"/>
    </row>
    <row r="249" spans="1:25" ht="17.25" thickBot="1" x14ac:dyDescent="0.3">
      <c r="A249" s="88"/>
      <c r="B249" s="81"/>
      <c r="C249" s="89"/>
      <c r="D249" s="90"/>
      <c r="E249" s="90"/>
      <c r="F249" s="81"/>
      <c r="G249" s="81"/>
      <c r="H249" s="81"/>
      <c r="I249" s="82"/>
      <c r="J249" s="10">
        <v>8</v>
      </c>
      <c r="K249" s="83"/>
      <c r="L249" s="84"/>
      <c r="N249">
        <f t="shared" si="73"/>
        <v>9</v>
      </c>
      <c r="O249">
        <f t="shared" si="74"/>
        <v>5</v>
      </c>
      <c r="P249" t="str">
        <f t="shared" si="75"/>
        <v>傲聖 (L384)</v>
      </c>
      <c r="Q249" t="str">
        <f t="shared" si="76"/>
        <v>潘明輝</v>
      </c>
      <c r="R249" t="str">
        <f t="shared" si="77"/>
        <v>賀賢</v>
      </c>
      <c r="S249">
        <f t="shared" si="78"/>
        <v>129</v>
      </c>
      <c r="T249">
        <f t="shared" si="79"/>
        <v>1110</v>
      </c>
      <c r="U249">
        <f t="shared" si="80"/>
        <v>5</v>
      </c>
      <c r="V249">
        <f t="shared" si="81"/>
        <v>37260</v>
      </c>
      <c r="W249" t="str">
        <f t="shared" si="82"/>
        <v>7,7,9,3</v>
      </c>
      <c r="X249" t="str">
        <f t="shared" si="83"/>
        <v>01:10.4</v>
      </c>
      <c r="Y249">
        <f t="shared" si="84"/>
        <v>82</v>
      </c>
    </row>
    <row r="250" spans="1:25" x14ac:dyDescent="0.25">
      <c r="A250" s="72">
        <v>9</v>
      </c>
      <c r="B250" s="54">
        <v>5</v>
      </c>
      <c r="C250" s="75" t="s">
        <v>136</v>
      </c>
      <c r="D250" s="78" t="s">
        <v>70</v>
      </c>
      <c r="E250" s="78" t="s">
        <v>57</v>
      </c>
      <c r="F250" s="54">
        <v>129</v>
      </c>
      <c r="G250" s="54">
        <v>1110</v>
      </c>
      <c r="H250" s="54">
        <v>5</v>
      </c>
      <c r="I250" s="85">
        <v>37260</v>
      </c>
      <c r="J250" s="5">
        <v>7</v>
      </c>
      <c r="K250" s="57">
        <v>8.1423611111111106E-4</v>
      </c>
      <c r="L250" s="60">
        <v>82</v>
      </c>
    </row>
    <row r="251" spans="1:25" x14ac:dyDescent="0.25">
      <c r="A251" s="73"/>
      <c r="B251" s="55"/>
      <c r="C251" s="76"/>
      <c r="D251" s="79"/>
      <c r="E251" s="79"/>
      <c r="F251" s="55"/>
      <c r="G251" s="55"/>
      <c r="H251" s="55"/>
      <c r="I251" s="86"/>
      <c r="J251" s="6">
        <v>7</v>
      </c>
      <c r="K251" s="58"/>
      <c r="L251" s="61"/>
    </row>
    <row r="252" spans="1:25" ht="17.25" thickBot="1" x14ac:dyDescent="0.3">
      <c r="A252" s="74"/>
      <c r="B252" s="56"/>
      <c r="C252" s="77"/>
      <c r="D252" s="80"/>
      <c r="E252" s="80"/>
      <c r="F252" s="56"/>
      <c r="G252" s="56"/>
      <c r="H252" s="56"/>
      <c r="I252" s="87"/>
      <c r="J252" s="7">
        <v>9</v>
      </c>
      <c r="K252" s="59"/>
      <c r="L252" s="62"/>
      <c r="N252">
        <f t="shared" si="73"/>
        <v>10</v>
      </c>
      <c r="O252">
        <f t="shared" si="74"/>
        <v>9</v>
      </c>
      <c r="P252" t="str">
        <f t="shared" si="75"/>
        <v>安康萬里 (J158)</v>
      </c>
      <c r="Q252" t="str">
        <f t="shared" si="76"/>
        <v>班德禮</v>
      </c>
      <c r="R252" t="str">
        <f t="shared" si="77"/>
        <v>呂健威</v>
      </c>
      <c r="S252">
        <f t="shared" si="78"/>
        <v>123</v>
      </c>
      <c r="T252">
        <f t="shared" si="79"/>
        <v>1118</v>
      </c>
      <c r="U252">
        <f t="shared" si="80"/>
        <v>1</v>
      </c>
      <c r="V252">
        <f t="shared" si="81"/>
        <v>37260</v>
      </c>
      <c r="W252" t="str">
        <f t="shared" si="82"/>
        <v>3,4,10,12</v>
      </c>
      <c r="X252" t="str">
        <f t="shared" si="83"/>
        <v>01:10.4</v>
      </c>
      <c r="Y252">
        <f t="shared" si="84"/>
        <v>25</v>
      </c>
    </row>
    <row r="253" spans="1:25" x14ac:dyDescent="0.25">
      <c r="A253" s="63">
        <v>10</v>
      </c>
      <c r="B253" s="42">
        <v>9</v>
      </c>
      <c r="C253" s="66" t="s">
        <v>137</v>
      </c>
      <c r="D253" s="69" t="s">
        <v>68</v>
      </c>
      <c r="E253" s="69" t="s">
        <v>92</v>
      </c>
      <c r="F253" s="42">
        <v>123</v>
      </c>
      <c r="G253" s="42">
        <v>1118</v>
      </c>
      <c r="H253" s="42">
        <v>1</v>
      </c>
      <c r="I253" s="45">
        <v>37260</v>
      </c>
      <c r="J253" s="8">
        <v>3</v>
      </c>
      <c r="K253" s="48">
        <v>8.1423611111111106E-4</v>
      </c>
      <c r="L253" s="51">
        <v>25</v>
      </c>
    </row>
    <row r="254" spans="1:25" x14ac:dyDescent="0.25">
      <c r="A254" s="64"/>
      <c r="B254" s="43"/>
      <c r="C254" s="67"/>
      <c r="D254" s="70"/>
      <c r="E254" s="70"/>
      <c r="F254" s="43"/>
      <c r="G254" s="43"/>
      <c r="H254" s="43"/>
      <c r="I254" s="46"/>
      <c r="J254" s="9">
        <v>4</v>
      </c>
      <c r="K254" s="49"/>
      <c r="L254" s="52"/>
    </row>
    <row r="255" spans="1:25" ht="17.25" thickBot="1" x14ac:dyDescent="0.3">
      <c r="A255" s="88"/>
      <c r="B255" s="81"/>
      <c r="C255" s="89"/>
      <c r="D255" s="90"/>
      <c r="E255" s="90"/>
      <c r="F255" s="81"/>
      <c r="G255" s="81"/>
      <c r="H255" s="81"/>
      <c r="I255" s="82"/>
      <c r="J255" s="10">
        <v>10</v>
      </c>
      <c r="K255" s="83"/>
      <c r="L255" s="84"/>
      <c r="N255">
        <f t="shared" si="73"/>
        <v>11</v>
      </c>
      <c r="O255">
        <f t="shared" si="74"/>
        <v>4</v>
      </c>
      <c r="P255" t="str">
        <f t="shared" si="75"/>
        <v>競駿皇者 (K011)</v>
      </c>
      <c r="Q255" t="str">
        <f t="shared" si="76"/>
        <v>霍宏聲</v>
      </c>
      <c r="R255" t="str">
        <f t="shared" si="77"/>
        <v>游達榮</v>
      </c>
      <c r="S255">
        <f t="shared" si="78"/>
        <v>131</v>
      </c>
      <c r="T255">
        <f t="shared" si="79"/>
        <v>1080</v>
      </c>
      <c r="U255">
        <f t="shared" si="80"/>
        <v>12</v>
      </c>
      <c r="V255">
        <f t="shared" si="81"/>
        <v>37991</v>
      </c>
      <c r="W255" t="str">
        <f t="shared" si="82"/>
        <v>12,12,11,9</v>
      </c>
      <c r="X255" t="str">
        <f t="shared" si="83"/>
        <v>01:10.5</v>
      </c>
      <c r="Y255">
        <f t="shared" si="84"/>
        <v>16</v>
      </c>
    </row>
    <row r="256" spans="1:25" x14ac:dyDescent="0.25">
      <c r="A256" s="72">
        <v>11</v>
      </c>
      <c r="B256" s="54">
        <v>4</v>
      </c>
      <c r="C256" s="75" t="s">
        <v>138</v>
      </c>
      <c r="D256" s="78" t="s">
        <v>33</v>
      </c>
      <c r="E256" s="78" t="s">
        <v>20</v>
      </c>
      <c r="F256" s="54">
        <v>131</v>
      </c>
      <c r="G256" s="54">
        <v>1080</v>
      </c>
      <c r="H256" s="54">
        <v>12</v>
      </c>
      <c r="I256" s="85">
        <v>37991</v>
      </c>
      <c r="J256" s="5">
        <v>12</v>
      </c>
      <c r="K256" s="57">
        <v>8.1562499999999994E-4</v>
      </c>
      <c r="L256" s="60">
        <v>16</v>
      </c>
    </row>
    <row r="257" spans="1:25" x14ac:dyDescent="0.25">
      <c r="A257" s="73"/>
      <c r="B257" s="55"/>
      <c r="C257" s="76"/>
      <c r="D257" s="79"/>
      <c r="E257" s="79"/>
      <c r="F257" s="55"/>
      <c r="G257" s="55"/>
      <c r="H257" s="55"/>
      <c r="I257" s="86"/>
      <c r="J257" s="6">
        <v>12</v>
      </c>
      <c r="K257" s="58"/>
      <c r="L257" s="61"/>
    </row>
    <row r="258" spans="1:25" ht="17.25" thickBot="1" x14ac:dyDescent="0.3">
      <c r="A258" s="74"/>
      <c r="B258" s="56"/>
      <c r="C258" s="77"/>
      <c r="D258" s="80"/>
      <c r="E258" s="80"/>
      <c r="F258" s="56"/>
      <c r="G258" s="56"/>
      <c r="H258" s="56"/>
      <c r="I258" s="87"/>
      <c r="J258" s="7">
        <v>11</v>
      </c>
      <c r="K258" s="59"/>
      <c r="L258" s="62"/>
      <c r="N258">
        <f t="shared" si="73"/>
        <v>12</v>
      </c>
      <c r="O258">
        <f t="shared" si="74"/>
        <v>10</v>
      </c>
      <c r="P258" t="str">
        <f t="shared" si="75"/>
        <v>正極 (K367)</v>
      </c>
      <c r="Q258" t="str">
        <f t="shared" si="76"/>
        <v>黃智弘</v>
      </c>
      <c r="R258" t="str">
        <f t="shared" si="77"/>
        <v>沈集成</v>
      </c>
      <c r="S258">
        <f t="shared" si="78"/>
        <v>119</v>
      </c>
      <c r="T258">
        <f t="shared" si="79"/>
        <v>1166</v>
      </c>
      <c r="U258">
        <f t="shared" si="80"/>
        <v>8</v>
      </c>
      <c r="V258">
        <f t="shared" si="81"/>
        <v>37992</v>
      </c>
      <c r="W258" t="str">
        <f t="shared" si="82"/>
        <v>9,10,12,6</v>
      </c>
      <c r="X258" t="str">
        <f t="shared" si="83"/>
        <v>01:10.6</v>
      </c>
      <c r="Y258">
        <f t="shared" si="84"/>
        <v>17</v>
      </c>
    </row>
    <row r="259" spans="1:25" x14ac:dyDescent="0.25">
      <c r="A259" s="63">
        <v>12</v>
      </c>
      <c r="B259" s="42">
        <v>10</v>
      </c>
      <c r="C259" s="66" t="s">
        <v>139</v>
      </c>
      <c r="D259" s="69" t="s">
        <v>80</v>
      </c>
      <c r="E259" s="69" t="s">
        <v>60</v>
      </c>
      <c r="F259" s="42">
        <v>119</v>
      </c>
      <c r="G259" s="42">
        <v>1166</v>
      </c>
      <c r="H259" s="42">
        <v>8</v>
      </c>
      <c r="I259" s="45">
        <v>37992</v>
      </c>
      <c r="J259" s="8">
        <v>9</v>
      </c>
      <c r="K259" s="48">
        <v>8.1724537037037041E-4</v>
      </c>
      <c r="L259" s="51">
        <v>17</v>
      </c>
    </row>
    <row r="260" spans="1:25" x14ac:dyDescent="0.25">
      <c r="A260" s="64"/>
      <c r="B260" s="43"/>
      <c r="C260" s="67"/>
      <c r="D260" s="70"/>
      <c r="E260" s="70"/>
      <c r="F260" s="43"/>
      <c r="G260" s="43"/>
      <c r="H260" s="43"/>
      <c r="I260" s="46"/>
      <c r="J260" s="9">
        <v>10</v>
      </c>
      <c r="K260" s="49"/>
      <c r="L260" s="52"/>
    </row>
    <row r="261" spans="1:25" ht="17.25" thickBot="1" x14ac:dyDescent="0.3">
      <c r="A261" s="65"/>
      <c r="B261" s="44"/>
      <c r="C261" s="68"/>
      <c r="D261" s="71"/>
      <c r="E261" s="71"/>
      <c r="F261" s="44"/>
      <c r="G261" s="44"/>
      <c r="H261" s="44"/>
      <c r="I261" s="47"/>
      <c r="J261" s="11">
        <v>12</v>
      </c>
      <c r="K261" s="50"/>
      <c r="L261" s="53"/>
      <c r="N261">
        <f t="shared" si="73"/>
        <v>1</v>
      </c>
      <c r="O261">
        <f t="shared" si="74"/>
        <v>8</v>
      </c>
      <c r="P261" t="str">
        <f t="shared" si="75"/>
        <v>繼往開來 (L096)</v>
      </c>
      <c r="Q261" t="str">
        <f t="shared" si="76"/>
        <v>艾兆禮</v>
      </c>
      <c r="R261" t="str">
        <f t="shared" si="77"/>
        <v>文家良</v>
      </c>
      <c r="S261">
        <f t="shared" si="78"/>
        <v>122</v>
      </c>
      <c r="T261">
        <f t="shared" si="79"/>
        <v>1098</v>
      </c>
      <c r="U261">
        <f t="shared" si="80"/>
        <v>5</v>
      </c>
      <c r="V261" t="str">
        <f t="shared" si="81"/>
        <v>---</v>
      </c>
      <c r="W261" t="str">
        <f t="shared" si="82"/>
        <v>6,6,1,4</v>
      </c>
      <c r="X261" t="str">
        <f t="shared" si="83"/>
        <v>01:09.2</v>
      </c>
      <c r="Y261">
        <f t="shared" si="84"/>
        <v>2</v>
      </c>
    </row>
    <row r="262" spans="1:25" ht="17.25" thickTop="1" x14ac:dyDescent="0.25">
      <c r="A262" s="94">
        <v>1</v>
      </c>
      <c r="B262" s="91">
        <v>8</v>
      </c>
      <c r="C262" s="95" t="s">
        <v>140</v>
      </c>
      <c r="D262" s="96" t="s">
        <v>39</v>
      </c>
      <c r="E262" s="96" t="s">
        <v>141</v>
      </c>
      <c r="F262" s="91">
        <v>122</v>
      </c>
      <c r="G262" s="91">
        <v>1098</v>
      </c>
      <c r="H262" s="91">
        <v>5</v>
      </c>
      <c r="I262" s="91" t="s">
        <v>21</v>
      </c>
      <c r="J262" s="27">
        <v>6</v>
      </c>
      <c r="K262" s="92">
        <v>8.0138888888888881E-4</v>
      </c>
      <c r="L262" s="93">
        <v>2</v>
      </c>
    </row>
    <row r="263" spans="1:25" x14ac:dyDescent="0.25">
      <c r="A263" s="73"/>
      <c r="B263" s="55"/>
      <c r="C263" s="76"/>
      <c r="D263" s="79"/>
      <c r="E263" s="79"/>
      <c r="F263" s="55"/>
      <c r="G263" s="55"/>
      <c r="H263" s="55"/>
      <c r="I263" s="55"/>
      <c r="J263" s="6">
        <v>6</v>
      </c>
      <c r="K263" s="58"/>
      <c r="L263" s="61"/>
    </row>
    <row r="264" spans="1:25" ht="17.25" thickBot="1" x14ac:dyDescent="0.3">
      <c r="A264" s="74"/>
      <c r="B264" s="56"/>
      <c r="C264" s="77"/>
      <c r="D264" s="80"/>
      <c r="E264" s="80"/>
      <c r="F264" s="56"/>
      <c r="G264" s="56"/>
      <c r="H264" s="56"/>
      <c r="I264" s="56"/>
      <c r="J264" s="7">
        <v>1</v>
      </c>
      <c r="K264" s="59"/>
      <c r="L264" s="62"/>
      <c r="N264">
        <f t="shared" si="73"/>
        <v>2</v>
      </c>
      <c r="O264">
        <f t="shared" si="74"/>
        <v>11</v>
      </c>
      <c r="P264" t="str">
        <f t="shared" si="75"/>
        <v>驕陽雄心 (K553)</v>
      </c>
      <c r="Q264" t="str">
        <f t="shared" si="76"/>
        <v>黃智弘</v>
      </c>
      <c r="R264" t="str">
        <f t="shared" si="77"/>
        <v>沈集成</v>
      </c>
      <c r="S264">
        <f t="shared" si="78"/>
        <v>118</v>
      </c>
      <c r="T264">
        <f t="shared" si="79"/>
        <v>1029</v>
      </c>
      <c r="U264">
        <f t="shared" si="80"/>
        <v>3</v>
      </c>
      <c r="V264">
        <f t="shared" si="81"/>
        <v>38047</v>
      </c>
      <c r="W264" t="str">
        <f t="shared" si="82"/>
        <v>4,5,2,7</v>
      </c>
      <c r="X264" t="str">
        <f t="shared" si="83"/>
        <v>01:09.5</v>
      </c>
      <c r="Y264">
        <f t="shared" si="84"/>
        <v>6.5</v>
      </c>
    </row>
    <row r="265" spans="1:25" x14ac:dyDescent="0.25">
      <c r="A265" s="63">
        <v>2</v>
      </c>
      <c r="B265" s="42">
        <v>11</v>
      </c>
      <c r="C265" s="66" t="s">
        <v>142</v>
      </c>
      <c r="D265" s="69" t="s">
        <v>80</v>
      </c>
      <c r="E265" s="69" t="s">
        <v>60</v>
      </c>
      <c r="F265" s="42">
        <v>118</v>
      </c>
      <c r="G265" s="42">
        <v>1029</v>
      </c>
      <c r="H265" s="42">
        <v>3</v>
      </c>
      <c r="I265" s="45">
        <v>38047</v>
      </c>
      <c r="J265" s="8">
        <v>4</v>
      </c>
      <c r="K265" s="48">
        <v>8.045138888888889E-4</v>
      </c>
      <c r="L265" s="51">
        <v>6.5</v>
      </c>
    </row>
    <row r="266" spans="1:25" x14ac:dyDescent="0.25">
      <c r="A266" s="64"/>
      <c r="B266" s="43"/>
      <c r="C266" s="67"/>
      <c r="D266" s="70"/>
      <c r="E266" s="70"/>
      <c r="F266" s="43"/>
      <c r="G266" s="43"/>
      <c r="H266" s="43"/>
      <c r="I266" s="46"/>
      <c r="J266" s="9">
        <v>5</v>
      </c>
      <c r="K266" s="49"/>
      <c r="L266" s="52"/>
    </row>
    <row r="267" spans="1:25" ht="17.25" thickBot="1" x14ac:dyDescent="0.3">
      <c r="A267" s="88"/>
      <c r="B267" s="81"/>
      <c r="C267" s="89"/>
      <c r="D267" s="90"/>
      <c r="E267" s="90"/>
      <c r="F267" s="81"/>
      <c r="G267" s="81"/>
      <c r="H267" s="81"/>
      <c r="I267" s="82"/>
      <c r="J267" s="10">
        <v>2</v>
      </c>
      <c r="K267" s="83"/>
      <c r="L267" s="84"/>
      <c r="N267" t="str">
        <f t="shared" si="73"/>
        <v> 3</v>
      </c>
      <c r="O267">
        <f t="shared" si="74"/>
        <v>6</v>
      </c>
      <c r="P267" t="str">
        <f t="shared" si="75"/>
        <v>富國兄弟 (J396)</v>
      </c>
      <c r="Q267" t="str">
        <f t="shared" si="76"/>
        <v>田泰安</v>
      </c>
      <c r="R267" t="str">
        <f t="shared" si="77"/>
        <v>葉楚航</v>
      </c>
      <c r="S267">
        <f t="shared" si="78"/>
        <v>126</v>
      </c>
      <c r="T267">
        <f t="shared" si="79"/>
        <v>1116</v>
      </c>
      <c r="U267">
        <f t="shared" si="80"/>
        <v>7</v>
      </c>
      <c r="V267">
        <f t="shared" si="81"/>
        <v>2</v>
      </c>
      <c r="W267" t="str">
        <f t="shared" si="82"/>
        <v>7,9,3,11</v>
      </c>
      <c r="X267" t="str">
        <f t="shared" si="83"/>
        <v>01:09.6</v>
      </c>
      <c r="Y267">
        <f t="shared" si="84"/>
        <v>22</v>
      </c>
    </row>
    <row r="268" spans="1:25" x14ac:dyDescent="0.25">
      <c r="A268" s="100" t="s">
        <v>61</v>
      </c>
      <c r="B268" s="54">
        <v>6</v>
      </c>
      <c r="C268" s="75" t="s">
        <v>143</v>
      </c>
      <c r="D268" s="78" t="s">
        <v>27</v>
      </c>
      <c r="E268" s="78" t="s">
        <v>95</v>
      </c>
      <c r="F268" s="54">
        <v>126</v>
      </c>
      <c r="G268" s="54">
        <v>1116</v>
      </c>
      <c r="H268" s="54">
        <v>7</v>
      </c>
      <c r="I268" s="54">
        <v>2</v>
      </c>
      <c r="J268" s="5">
        <v>7</v>
      </c>
      <c r="K268" s="57">
        <v>8.0532407407407408E-4</v>
      </c>
      <c r="L268" s="60">
        <v>22</v>
      </c>
    </row>
    <row r="269" spans="1:25" x14ac:dyDescent="0.25">
      <c r="A269" s="101"/>
      <c r="B269" s="55"/>
      <c r="C269" s="76"/>
      <c r="D269" s="79"/>
      <c r="E269" s="79"/>
      <c r="F269" s="55"/>
      <c r="G269" s="55"/>
      <c r="H269" s="55"/>
      <c r="I269" s="55"/>
      <c r="J269" s="6">
        <v>9</v>
      </c>
      <c r="K269" s="58"/>
      <c r="L269" s="61"/>
    </row>
    <row r="270" spans="1:25" ht="17.25" thickBot="1" x14ac:dyDescent="0.3">
      <c r="A270" s="102"/>
      <c r="B270" s="56"/>
      <c r="C270" s="77"/>
      <c r="D270" s="80"/>
      <c r="E270" s="80"/>
      <c r="F270" s="56"/>
      <c r="G270" s="56"/>
      <c r="H270" s="56"/>
      <c r="I270" s="56"/>
      <c r="J270" s="7">
        <v>3</v>
      </c>
      <c r="K270" s="59"/>
      <c r="L270" s="62"/>
      <c r="N270" t="str">
        <f t="shared" si="73"/>
        <v> 4</v>
      </c>
      <c r="O270">
        <f t="shared" si="74"/>
        <v>5</v>
      </c>
      <c r="P270" t="str">
        <f t="shared" si="75"/>
        <v>飛馬座 (L075)</v>
      </c>
      <c r="Q270" t="str">
        <f t="shared" si="76"/>
        <v>周俊樂</v>
      </c>
      <c r="R270" t="str">
        <f t="shared" si="77"/>
        <v>徐雨石</v>
      </c>
      <c r="S270">
        <f t="shared" si="78"/>
        <v>125</v>
      </c>
      <c r="T270">
        <f t="shared" si="79"/>
        <v>1138</v>
      </c>
      <c r="U270">
        <f t="shared" si="80"/>
        <v>11</v>
      </c>
      <c r="V270">
        <f t="shared" si="81"/>
        <v>37988</v>
      </c>
      <c r="W270" t="str">
        <f t="shared" si="82"/>
        <v>11,10,4,12</v>
      </c>
      <c r="X270" t="str">
        <f t="shared" si="83"/>
        <v>01:09.6</v>
      </c>
      <c r="Y270">
        <f t="shared" si="84"/>
        <v>34</v>
      </c>
    </row>
    <row r="271" spans="1:25" x14ac:dyDescent="0.25">
      <c r="A271" s="97" t="s">
        <v>84</v>
      </c>
      <c r="B271" s="42">
        <v>5</v>
      </c>
      <c r="C271" s="66" t="s">
        <v>144</v>
      </c>
      <c r="D271" s="69" t="s">
        <v>19</v>
      </c>
      <c r="E271" s="69" t="s">
        <v>46</v>
      </c>
      <c r="F271" s="42">
        <v>125</v>
      </c>
      <c r="G271" s="42">
        <v>1138</v>
      </c>
      <c r="H271" s="42">
        <v>11</v>
      </c>
      <c r="I271" s="45">
        <v>37988</v>
      </c>
      <c r="J271" s="8">
        <v>11</v>
      </c>
      <c r="K271" s="48">
        <v>8.0543981481481482E-4</v>
      </c>
      <c r="L271" s="51">
        <v>34</v>
      </c>
    </row>
    <row r="272" spans="1:25" x14ac:dyDescent="0.25">
      <c r="A272" s="98"/>
      <c r="B272" s="43"/>
      <c r="C272" s="67"/>
      <c r="D272" s="70"/>
      <c r="E272" s="70"/>
      <c r="F272" s="43"/>
      <c r="G272" s="43"/>
      <c r="H272" s="43"/>
      <c r="I272" s="46"/>
      <c r="J272" s="9">
        <v>10</v>
      </c>
      <c r="K272" s="49"/>
      <c r="L272" s="52"/>
    </row>
    <row r="273" spans="1:25" ht="17.25" thickBot="1" x14ac:dyDescent="0.3">
      <c r="A273" s="99"/>
      <c r="B273" s="81"/>
      <c r="C273" s="89"/>
      <c r="D273" s="90"/>
      <c r="E273" s="90"/>
      <c r="F273" s="81"/>
      <c r="G273" s="81"/>
      <c r="H273" s="81"/>
      <c r="I273" s="82"/>
      <c r="J273" s="10">
        <v>4</v>
      </c>
      <c r="K273" s="83"/>
      <c r="L273" s="84"/>
      <c r="N273">
        <f t="shared" si="73"/>
        <v>5</v>
      </c>
      <c r="O273">
        <f t="shared" si="74"/>
        <v>9</v>
      </c>
      <c r="P273" t="str">
        <f t="shared" si="75"/>
        <v>蓮冠皇 (K186)</v>
      </c>
      <c r="Q273" t="str">
        <f t="shared" si="76"/>
        <v>希威森</v>
      </c>
      <c r="R273" t="str">
        <f t="shared" si="77"/>
        <v>廖康銘</v>
      </c>
      <c r="S273">
        <f t="shared" si="78"/>
        <v>122</v>
      </c>
      <c r="T273">
        <f t="shared" si="79"/>
        <v>1026</v>
      </c>
      <c r="U273">
        <f t="shared" si="80"/>
        <v>9</v>
      </c>
      <c r="V273">
        <f t="shared" si="81"/>
        <v>37988</v>
      </c>
      <c r="W273" t="str">
        <f t="shared" si="82"/>
        <v>12,12,5,10</v>
      </c>
      <c r="X273" t="str">
        <f t="shared" si="83"/>
        <v>01:09.6</v>
      </c>
      <c r="Y273">
        <f t="shared" si="84"/>
        <v>19</v>
      </c>
    </row>
    <row r="274" spans="1:25" x14ac:dyDescent="0.25">
      <c r="A274" s="72">
        <v>5</v>
      </c>
      <c r="B274" s="54">
        <v>9</v>
      </c>
      <c r="C274" s="75" t="s">
        <v>145</v>
      </c>
      <c r="D274" s="78" t="s">
        <v>30</v>
      </c>
      <c r="E274" s="78" t="s">
        <v>34</v>
      </c>
      <c r="F274" s="54">
        <v>122</v>
      </c>
      <c r="G274" s="54">
        <v>1026</v>
      </c>
      <c r="H274" s="54">
        <v>9</v>
      </c>
      <c r="I274" s="85">
        <v>37988</v>
      </c>
      <c r="J274" s="5">
        <v>12</v>
      </c>
      <c r="K274" s="57">
        <v>8.0555555555555545E-4</v>
      </c>
      <c r="L274" s="60">
        <v>19</v>
      </c>
    </row>
    <row r="275" spans="1:25" x14ac:dyDescent="0.25">
      <c r="A275" s="73"/>
      <c r="B275" s="55"/>
      <c r="C275" s="76"/>
      <c r="D275" s="79"/>
      <c r="E275" s="79"/>
      <c r="F275" s="55"/>
      <c r="G275" s="55"/>
      <c r="H275" s="55"/>
      <c r="I275" s="86"/>
      <c r="J275" s="6">
        <v>12</v>
      </c>
      <c r="K275" s="58"/>
      <c r="L275" s="61"/>
    </row>
    <row r="276" spans="1:25" ht="17.25" thickBot="1" x14ac:dyDescent="0.3">
      <c r="A276" s="74"/>
      <c r="B276" s="56"/>
      <c r="C276" s="77"/>
      <c r="D276" s="80"/>
      <c r="E276" s="80"/>
      <c r="F276" s="56"/>
      <c r="G276" s="56"/>
      <c r="H276" s="56"/>
      <c r="I276" s="87"/>
      <c r="J276" s="7">
        <v>5</v>
      </c>
      <c r="K276" s="59"/>
      <c r="L276" s="62"/>
      <c r="N276">
        <f t="shared" si="73"/>
        <v>6</v>
      </c>
      <c r="O276">
        <f t="shared" si="74"/>
        <v>7</v>
      </c>
      <c r="P276" t="str">
        <f t="shared" si="75"/>
        <v>勇霸龍 (J237)</v>
      </c>
      <c r="Q276" t="str">
        <f t="shared" si="76"/>
        <v>艾道拿</v>
      </c>
      <c r="R276" t="str">
        <f t="shared" si="77"/>
        <v>黎昭昇</v>
      </c>
      <c r="S276">
        <f t="shared" si="78"/>
        <v>123</v>
      </c>
      <c r="T276">
        <f t="shared" si="79"/>
        <v>1253</v>
      </c>
      <c r="U276">
        <f t="shared" si="80"/>
        <v>6</v>
      </c>
      <c r="V276">
        <f t="shared" si="81"/>
        <v>38048</v>
      </c>
      <c r="W276" t="str">
        <f t="shared" si="82"/>
        <v>10,8,6,5</v>
      </c>
      <c r="X276" t="str">
        <f t="shared" si="83"/>
        <v>01:09.7</v>
      </c>
      <c r="Y276">
        <f t="shared" si="84"/>
        <v>32</v>
      </c>
    </row>
    <row r="277" spans="1:25" x14ac:dyDescent="0.25">
      <c r="A277" s="63">
        <v>6</v>
      </c>
      <c r="B277" s="42">
        <v>7</v>
      </c>
      <c r="C277" s="66" t="s">
        <v>146</v>
      </c>
      <c r="D277" s="69" t="s">
        <v>63</v>
      </c>
      <c r="E277" s="69" t="s">
        <v>52</v>
      </c>
      <c r="F277" s="42">
        <v>123</v>
      </c>
      <c r="G277" s="42">
        <v>1253</v>
      </c>
      <c r="H277" s="42">
        <v>6</v>
      </c>
      <c r="I277" s="45">
        <v>38048</v>
      </c>
      <c r="J277" s="8">
        <v>10</v>
      </c>
      <c r="K277" s="48">
        <v>8.0671296296296296E-4</v>
      </c>
      <c r="L277" s="51">
        <v>32</v>
      </c>
    </row>
    <row r="278" spans="1:25" x14ac:dyDescent="0.25">
      <c r="A278" s="64"/>
      <c r="B278" s="43"/>
      <c r="C278" s="67"/>
      <c r="D278" s="70"/>
      <c r="E278" s="70"/>
      <c r="F278" s="43"/>
      <c r="G278" s="43"/>
      <c r="H278" s="43"/>
      <c r="I278" s="46"/>
      <c r="J278" s="9">
        <v>8</v>
      </c>
      <c r="K278" s="49"/>
      <c r="L278" s="52"/>
    </row>
    <row r="279" spans="1:25" ht="17.25" thickBot="1" x14ac:dyDescent="0.3">
      <c r="A279" s="88"/>
      <c r="B279" s="81"/>
      <c r="C279" s="89"/>
      <c r="D279" s="90"/>
      <c r="E279" s="90"/>
      <c r="F279" s="81"/>
      <c r="G279" s="81"/>
      <c r="H279" s="81"/>
      <c r="I279" s="82"/>
      <c r="J279" s="10">
        <v>6</v>
      </c>
      <c r="K279" s="83"/>
      <c r="L279" s="84"/>
      <c r="N279">
        <f t="shared" si="73"/>
        <v>7</v>
      </c>
      <c r="O279">
        <f t="shared" si="74"/>
        <v>10</v>
      </c>
      <c r="P279" t="str">
        <f t="shared" si="75"/>
        <v>喵喵怪 (J487)</v>
      </c>
      <c r="Q279" t="str">
        <f t="shared" si="76"/>
        <v>袁幸堯</v>
      </c>
      <c r="R279" t="str">
        <f t="shared" si="77"/>
        <v>巫偉傑</v>
      </c>
      <c r="S279">
        <f t="shared" si="78"/>
        <v>112</v>
      </c>
      <c r="T279">
        <f t="shared" si="79"/>
        <v>1094</v>
      </c>
      <c r="U279">
        <f t="shared" si="80"/>
        <v>12</v>
      </c>
      <c r="V279">
        <f t="shared" si="81"/>
        <v>3</v>
      </c>
      <c r="W279" t="str">
        <f t="shared" si="82"/>
        <v>5,4,7,8</v>
      </c>
      <c r="X279" t="str">
        <f t="shared" si="83"/>
        <v>01:09.7</v>
      </c>
      <c r="Y279">
        <f t="shared" si="84"/>
        <v>9</v>
      </c>
    </row>
    <row r="280" spans="1:25" x14ac:dyDescent="0.25">
      <c r="A280" s="72">
        <v>7</v>
      </c>
      <c r="B280" s="54">
        <v>10</v>
      </c>
      <c r="C280" s="75" t="s">
        <v>147</v>
      </c>
      <c r="D280" s="78" t="s">
        <v>45</v>
      </c>
      <c r="E280" s="78" t="s">
        <v>28</v>
      </c>
      <c r="F280" s="54">
        <v>112</v>
      </c>
      <c r="G280" s="54">
        <v>1094</v>
      </c>
      <c r="H280" s="54">
        <v>12</v>
      </c>
      <c r="I280" s="54">
        <v>3</v>
      </c>
      <c r="J280" s="5">
        <v>5</v>
      </c>
      <c r="K280" s="57">
        <v>8.0682870370370381E-4</v>
      </c>
      <c r="L280" s="60">
        <v>9</v>
      </c>
    </row>
    <row r="281" spans="1:25" x14ac:dyDescent="0.25">
      <c r="A281" s="73"/>
      <c r="B281" s="55"/>
      <c r="C281" s="76"/>
      <c r="D281" s="79"/>
      <c r="E281" s="79"/>
      <c r="F281" s="55"/>
      <c r="G281" s="55"/>
      <c r="H281" s="55"/>
      <c r="I281" s="55"/>
      <c r="J281" s="6">
        <v>4</v>
      </c>
      <c r="K281" s="58"/>
      <c r="L281" s="61"/>
    </row>
    <row r="282" spans="1:25" ht="17.25" thickBot="1" x14ac:dyDescent="0.3">
      <c r="A282" s="74"/>
      <c r="B282" s="56"/>
      <c r="C282" s="77"/>
      <c r="D282" s="80"/>
      <c r="E282" s="80"/>
      <c r="F282" s="56"/>
      <c r="G282" s="56"/>
      <c r="H282" s="56"/>
      <c r="I282" s="56"/>
      <c r="J282" s="7">
        <v>7</v>
      </c>
      <c r="K282" s="59"/>
      <c r="L282" s="62"/>
      <c r="N282">
        <f t="shared" si="73"/>
        <v>8</v>
      </c>
      <c r="O282">
        <f t="shared" si="74"/>
        <v>12</v>
      </c>
      <c r="P282" t="str">
        <f t="shared" si="75"/>
        <v>亞機拉 (H113)</v>
      </c>
      <c r="Q282" t="str">
        <f t="shared" si="76"/>
        <v>鍾易禮</v>
      </c>
      <c r="R282" t="str">
        <f t="shared" si="77"/>
        <v>告東尼</v>
      </c>
      <c r="S282">
        <f t="shared" si="78"/>
        <v>118</v>
      </c>
      <c r="T282">
        <f t="shared" si="79"/>
        <v>1062</v>
      </c>
      <c r="U282">
        <f t="shared" si="80"/>
        <v>10</v>
      </c>
      <c r="V282">
        <f t="shared" si="81"/>
        <v>37260</v>
      </c>
      <c r="W282" t="str">
        <f t="shared" si="82"/>
        <v>8,7,8,9</v>
      </c>
      <c r="X282" t="str">
        <f t="shared" si="83"/>
        <v>01:10.0</v>
      </c>
      <c r="Y282">
        <f t="shared" si="84"/>
        <v>47</v>
      </c>
    </row>
    <row r="283" spans="1:25" x14ac:dyDescent="0.25">
      <c r="A283" s="63">
        <v>8</v>
      </c>
      <c r="B283" s="42">
        <v>12</v>
      </c>
      <c r="C283" s="66" t="s">
        <v>148</v>
      </c>
      <c r="D283" s="69" t="s">
        <v>65</v>
      </c>
      <c r="E283" s="69" t="s">
        <v>66</v>
      </c>
      <c r="F283" s="42">
        <v>118</v>
      </c>
      <c r="G283" s="42">
        <v>1062</v>
      </c>
      <c r="H283" s="42">
        <v>10</v>
      </c>
      <c r="I283" s="45">
        <v>37260</v>
      </c>
      <c r="J283" s="8">
        <v>8</v>
      </c>
      <c r="K283" s="48">
        <v>8.0972222222222231E-4</v>
      </c>
      <c r="L283" s="51">
        <v>47</v>
      </c>
    </row>
    <row r="284" spans="1:25" x14ac:dyDescent="0.25">
      <c r="A284" s="64"/>
      <c r="B284" s="43"/>
      <c r="C284" s="67"/>
      <c r="D284" s="70"/>
      <c r="E284" s="70"/>
      <c r="F284" s="43"/>
      <c r="G284" s="43"/>
      <c r="H284" s="43"/>
      <c r="I284" s="46"/>
      <c r="J284" s="9">
        <v>7</v>
      </c>
      <c r="K284" s="49"/>
      <c r="L284" s="52"/>
    </row>
    <row r="285" spans="1:25" ht="17.25" thickBot="1" x14ac:dyDescent="0.3">
      <c r="A285" s="88"/>
      <c r="B285" s="81"/>
      <c r="C285" s="89"/>
      <c r="D285" s="90"/>
      <c r="E285" s="90"/>
      <c r="F285" s="81"/>
      <c r="G285" s="81"/>
      <c r="H285" s="81"/>
      <c r="I285" s="82"/>
      <c r="J285" s="10">
        <v>8</v>
      </c>
      <c r="K285" s="83"/>
      <c r="L285" s="84"/>
      <c r="N285">
        <f t="shared" si="73"/>
        <v>9</v>
      </c>
      <c r="O285">
        <f t="shared" si="74"/>
        <v>2</v>
      </c>
      <c r="P285" t="str">
        <f t="shared" si="75"/>
        <v>團結勇士 (K340)</v>
      </c>
      <c r="Q285" t="str">
        <f t="shared" si="76"/>
        <v>梁家俊</v>
      </c>
      <c r="R285" t="str">
        <f t="shared" si="77"/>
        <v>鄭俊偉</v>
      </c>
      <c r="S285">
        <f t="shared" si="78"/>
        <v>135</v>
      </c>
      <c r="T285">
        <f t="shared" si="79"/>
        <v>1162</v>
      </c>
      <c r="U285">
        <f t="shared" si="80"/>
        <v>8</v>
      </c>
      <c r="V285">
        <f t="shared" si="81"/>
        <v>37991</v>
      </c>
      <c r="W285" t="str">
        <f t="shared" si="82"/>
        <v>9,11,9,2</v>
      </c>
      <c r="X285" t="str">
        <f t="shared" si="83"/>
        <v>01:10.1</v>
      </c>
      <c r="Y285">
        <f t="shared" si="84"/>
        <v>25</v>
      </c>
    </row>
    <row r="286" spans="1:25" x14ac:dyDescent="0.25">
      <c r="A286" s="72">
        <v>9</v>
      </c>
      <c r="B286" s="54">
        <v>2</v>
      </c>
      <c r="C286" s="75" t="s">
        <v>149</v>
      </c>
      <c r="D286" s="78" t="s">
        <v>48</v>
      </c>
      <c r="E286" s="78" t="s">
        <v>107</v>
      </c>
      <c r="F286" s="54">
        <v>135</v>
      </c>
      <c r="G286" s="54">
        <v>1162</v>
      </c>
      <c r="H286" s="54">
        <v>8</v>
      </c>
      <c r="I286" s="85">
        <v>37991</v>
      </c>
      <c r="J286" s="5">
        <v>9</v>
      </c>
      <c r="K286" s="57">
        <v>8.1122685185185193E-4</v>
      </c>
      <c r="L286" s="60">
        <v>25</v>
      </c>
    </row>
    <row r="287" spans="1:25" x14ac:dyDescent="0.25">
      <c r="A287" s="73"/>
      <c r="B287" s="55"/>
      <c r="C287" s="76"/>
      <c r="D287" s="79"/>
      <c r="E287" s="79"/>
      <c r="F287" s="55"/>
      <c r="G287" s="55"/>
      <c r="H287" s="55"/>
      <c r="I287" s="86"/>
      <c r="J287" s="6">
        <v>11</v>
      </c>
      <c r="K287" s="58"/>
      <c r="L287" s="61"/>
    </row>
    <row r="288" spans="1:25" ht="17.25" thickBot="1" x14ac:dyDescent="0.3">
      <c r="A288" s="74"/>
      <c r="B288" s="56"/>
      <c r="C288" s="77"/>
      <c r="D288" s="80"/>
      <c r="E288" s="80"/>
      <c r="F288" s="56"/>
      <c r="G288" s="56"/>
      <c r="H288" s="56"/>
      <c r="I288" s="87"/>
      <c r="J288" s="7">
        <v>9</v>
      </c>
      <c r="K288" s="59"/>
      <c r="L288" s="62"/>
      <c r="N288">
        <f t="shared" si="73"/>
        <v>10</v>
      </c>
      <c r="O288">
        <f t="shared" si="74"/>
        <v>3</v>
      </c>
      <c r="P288" t="str">
        <f t="shared" si="75"/>
        <v>富心星 (K125)</v>
      </c>
      <c r="Q288" t="str">
        <f t="shared" si="76"/>
        <v>何澤堯</v>
      </c>
      <c r="R288" t="str">
        <f t="shared" si="77"/>
        <v>方嘉柏</v>
      </c>
      <c r="S288">
        <f t="shared" si="78"/>
        <v>129</v>
      </c>
      <c r="T288">
        <f t="shared" si="79"/>
        <v>1181</v>
      </c>
      <c r="U288">
        <f t="shared" si="80"/>
        <v>4</v>
      </c>
      <c r="V288">
        <f t="shared" si="81"/>
        <v>38051</v>
      </c>
      <c r="W288" t="str">
        <f t="shared" si="82"/>
        <v>2,1,10,3</v>
      </c>
      <c r="X288" t="str">
        <f t="shared" si="83"/>
        <v>01:10.1</v>
      </c>
      <c r="Y288">
        <f t="shared" si="84"/>
        <v>23</v>
      </c>
    </row>
    <row r="289" spans="1:25" x14ac:dyDescent="0.25">
      <c r="A289" s="63">
        <v>10</v>
      </c>
      <c r="B289" s="42">
        <v>3</v>
      </c>
      <c r="C289" s="66" t="s">
        <v>150</v>
      </c>
      <c r="D289" s="69" t="s">
        <v>36</v>
      </c>
      <c r="E289" s="69" t="s">
        <v>37</v>
      </c>
      <c r="F289" s="42">
        <v>129</v>
      </c>
      <c r="G289" s="42">
        <v>1181</v>
      </c>
      <c r="H289" s="42">
        <v>4</v>
      </c>
      <c r="I289" s="45">
        <v>38051</v>
      </c>
      <c r="J289" s="8">
        <v>2</v>
      </c>
      <c r="K289" s="48">
        <v>8.1180555555555552E-4</v>
      </c>
      <c r="L289" s="51">
        <v>23</v>
      </c>
    </row>
    <row r="290" spans="1:25" x14ac:dyDescent="0.25">
      <c r="A290" s="64"/>
      <c r="B290" s="43"/>
      <c r="C290" s="67"/>
      <c r="D290" s="70"/>
      <c r="E290" s="70"/>
      <c r="F290" s="43"/>
      <c r="G290" s="43"/>
      <c r="H290" s="43"/>
      <c r="I290" s="46"/>
      <c r="J290" s="9">
        <v>1</v>
      </c>
      <c r="K290" s="49"/>
      <c r="L290" s="52"/>
    </row>
    <row r="291" spans="1:25" ht="17.25" thickBot="1" x14ac:dyDescent="0.3">
      <c r="A291" s="88"/>
      <c r="B291" s="81"/>
      <c r="C291" s="89"/>
      <c r="D291" s="90"/>
      <c r="E291" s="90"/>
      <c r="F291" s="81"/>
      <c r="G291" s="81"/>
      <c r="H291" s="81"/>
      <c r="I291" s="82"/>
      <c r="J291" s="10">
        <v>10</v>
      </c>
      <c r="K291" s="83"/>
      <c r="L291" s="84"/>
      <c r="N291">
        <f t="shared" si="73"/>
        <v>11</v>
      </c>
      <c r="O291">
        <f t="shared" si="74"/>
        <v>4</v>
      </c>
      <c r="P291" t="str">
        <f t="shared" si="75"/>
        <v>久久為昇 (K516)</v>
      </c>
      <c r="Q291" t="str">
        <f t="shared" si="76"/>
        <v>奧爾民</v>
      </c>
      <c r="R291" t="str">
        <f t="shared" si="77"/>
        <v>賀賢</v>
      </c>
      <c r="S291">
        <f t="shared" si="78"/>
        <v>129</v>
      </c>
      <c r="T291">
        <f t="shared" si="79"/>
        <v>1021</v>
      </c>
      <c r="U291">
        <f t="shared" si="80"/>
        <v>1</v>
      </c>
      <c r="V291">
        <f t="shared" si="81"/>
        <v>38051</v>
      </c>
      <c r="W291" t="str">
        <f t="shared" si="82"/>
        <v>3,3,11,1</v>
      </c>
      <c r="X291" t="str">
        <f t="shared" si="83"/>
        <v>01:10.2</v>
      </c>
      <c r="Y291">
        <f t="shared" si="84"/>
        <v>6.8</v>
      </c>
    </row>
    <row r="292" spans="1:25" x14ac:dyDescent="0.25">
      <c r="A292" s="72">
        <v>11</v>
      </c>
      <c r="B292" s="54">
        <v>4</v>
      </c>
      <c r="C292" s="75" t="s">
        <v>151</v>
      </c>
      <c r="D292" s="78" t="s">
        <v>51</v>
      </c>
      <c r="E292" s="78" t="s">
        <v>57</v>
      </c>
      <c r="F292" s="54">
        <v>129</v>
      </c>
      <c r="G292" s="54">
        <v>1021</v>
      </c>
      <c r="H292" s="54">
        <v>1</v>
      </c>
      <c r="I292" s="85">
        <v>38051</v>
      </c>
      <c r="J292" s="5">
        <v>3</v>
      </c>
      <c r="K292" s="57">
        <v>8.1215277777777785E-4</v>
      </c>
      <c r="L292" s="60">
        <v>6.8</v>
      </c>
    </row>
    <row r="293" spans="1:25" x14ac:dyDescent="0.25">
      <c r="A293" s="73"/>
      <c r="B293" s="55"/>
      <c r="C293" s="76"/>
      <c r="D293" s="79"/>
      <c r="E293" s="79"/>
      <c r="F293" s="55"/>
      <c r="G293" s="55"/>
      <c r="H293" s="55"/>
      <c r="I293" s="86"/>
      <c r="J293" s="6">
        <v>3</v>
      </c>
      <c r="K293" s="58"/>
      <c r="L293" s="61"/>
    </row>
    <row r="294" spans="1:25" ht="17.25" thickBot="1" x14ac:dyDescent="0.3">
      <c r="A294" s="74"/>
      <c r="B294" s="56"/>
      <c r="C294" s="77"/>
      <c r="D294" s="80"/>
      <c r="E294" s="80"/>
      <c r="F294" s="56"/>
      <c r="G294" s="56"/>
      <c r="H294" s="56"/>
      <c r="I294" s="87"/>
      <c r="J294" s="7">
        <v>11</v>
      </c>
      <c r="K294" s="59"/>
      <c r="L294" s="62"/>
      <c r="N294">
        <f t="shared" si="73"/>
        <v>12</v>
      </c>
      <c r="O294">
        <f t="shared" si="74"/>
        <v>1</v>
      </c>
      <c r="P294" t="str">
        <f t="shared" si="75"/>
        <v>人和家興 (E061)</v>
      </c>
      <c r="Q294" t="str">
        <f t="shared" si="76"/>
        <v>霍宏聲</v>
      </c>
      <c r="R294" t="str">
        <f t="shared" si="77"/>
        <v>大衛希斯</v>
      </c>
      <c r="S294">
        <f t="shared" si="78"/>
        <v>135</v>
      </c>
      <c r="T294">
        <f t="shared" si="79"/>
        <v>1214</v>
      </c>
      <c r="U294">
        <f t="shared" si="80"/>
        <v>2</v>
      </c>
      <c r="V294">
        <f t="shared" si="81"/>
        <v>7</v>
      </c>
      <c r="W294" t="str">
        <f t="shared" si="82"/>
        <v>1,2,12,10</v>
      </c>
      <c r="X294" t="str">
        <f t="shared" si="83"/>
        <v>01:10.4</v>
      </c>
      <c r="Y294">
        <f t="shared" si="84"/>
        <v>19</v>
      </c>
    </row>
    <row r="295" spans="1:25" x14ac:dyDescent="0.25">
      <c r="A295" s="63">
        <v>12</v>
      </c>
      <c r="B295" s="42">
        <v>1</v>
      </c>
      <c r="C295" s="66" t="s">
        <v>152</v>
      </c>
      <c r="D295" s="69" t="s">
        <v>33</v>
      </c>
      <c r="E295" s="69" t="s">
        <v>24</v>
      </c>
      <c r="F295" s="42">
        <v>135</v>
      </c>
      <c r="G295" s="42">
        <v>1214</v>
      </c>
      <c r="H295" s="42">
        <v>2</v>
      </c>
      <c r="I295" s="42">
        <v>7</v>
      </c>
      <c r="J295" s="8">
        <v>1</v>
      </c>
      <c r="K295" s="48">
        <v>8.143518518518518E-4</v>
      </c>
      <c r="L295" s="51">
        <v>19</v>
      </c>
    </row>
    <row r="296" spans="1:25" x14ac:dyDescent="0.25">
      <c r="A296" s="64"/>
      <c r="B296" s="43"/>
      <c r="C296" s="67"/>
      <c r="D296" s="70"/>
      <c r="E296" s="70"/>
      <c r="F296" s="43"/>
      <c r="G296" s="43"/>
      <c r="H296" s="43"/>
      <c r="I296" s="43"/>
      <c r="J296" s="9">
        <v>2</v>
      </c>
      <c r="K296" s="49"/>
      <c r="L296" s="52"/>
    </row>
    <row r="297" spans="1:25" ht="17.25" thickBot="1" x14ac:dyDescent="0.3">
      <c r="A297" s="65"/>
      <c r="B297" s="44"/>
      <c r="C297" s="68"/>
      <c r="D297" s="71"/>
      <c r="E297" s="71"/>
      <c r="F297" s="44"/>
      <c r="G297" s="44"/>
      <c r="H297" s="44"/>
      <c r="I297" s="44"/>
      <c r="J297" s="11">
        <v>12</v>
      </c>
      <c r="K297" s="50"/>
      <c r="L297" s="53"/>
      <c r="N297">
        <f t="shared" si="73"/>
        <v>1</v>
      </c>
      <c r="O297">
        <f t="shared" si="74"/>
        <v>6</v>
      </c>
      <c r="P297" t="str">
        <f t="shared" si="75"/>
        <v>將義 (J446)</v>
      </c>
      <c r="Q297" t="str">
        <f t="shared" si="76"/>
        <v>何澤堯</v>
      </c>
      <c r="R297" t="str">
        <f t="shared" si="77"/>
        <v>巫偉傑</v>
      </c>
      <c r="S297">
        <f t="shared" si="78"/>
        <v>126</v>
      </c>
      <c r="T297">
        <f t="shared" si="79"/>
        <v>1141</v>
      </c>
      <c r="U297">
        <f t="shared" si="80"/>
        <v>8</v>
      </c>
      <c r="V297" t="str">
        <f t="shared" si="81"/>
        <v>---</v>
      </c>
      <c r="W297" t="str">
        <f>J298&amp;","&amp;J299&amp;","&amp;J300&amp;","&amp;J301&amp;","&amp;J302</f>
        <v>10,9,6,5,1</v>
      </c>
      <c r="X297" t="str">
        <f t="shared" si="83"/>
        <v>01:48.0</v>
      </c>
      <c r="Y297">
        <f t="shared" si="84"/>
        <v>11</v>
      </c>
    </row>
    <row r="298" spans="1:25" ht="17.25" thickTop="1" x14ac:dyDescent="0.25">
      <c r="A298" s="94">
        <v>1</v>
      </c>
      <c r="B298" s="91">
        <v>6</v>
      </c>
      <c r="C298" s="95" t="s">
        <v>153</v>
      </c>
      <c r="D298" s="96" t="s">
        <v>36</v>
      </c>
      <c r="E298" s="96" t="s">
        <v>28</v>
      </c>
      <c r="F298" s="91">
        <v>126</v>
      </c>
      <c r="G298" s="91">
        <v>1141</v>
      </c>
      <c r="H298" s="91">
        <v>8</v>
      </c>
      <c r="I298" s="91" t="s">
        <v>21</v>
      </c>
      <c r="J298" s="27">
        <v>10</v>
      </c>
      <c r="K298" s="92">
        <v>1.2503472222222221E-3</v>
      </c>
      <c r="L298" s="93">
        <v>11</v>
      </c>
    </row>
    <row r="299" spans="1:25" x14ac:dyDescent="0.25">
      <c r="A299" s="73"/>
      <c r="B299" s="55"/>
      <c r="C299" s="76"/>
      <c r="D299" s="79"/>
      <c r="E299" s="79"/>
      <c r="F299" s="55"/>
      <c r="G299" s="55"/>
      <c r="H299" s="55"/>
      <c r="I299" s="55"/>
      <c r="J299" s="6">
        <v>9</v>
      </c>
      <c r="K299" s="58"/>
      <c r="L299" s="61"/>
    </row>
    <row r="300" spans="1:25" x14ac:dyDescent="0.25">
      <c r="A300" s="73"/>
      <c r="B300" s="55"/>
      <c r="C300" s="76"/>
      <c r="D300" s="79"/>
      <c r="E300" s="79"/>
      <c r="F300" s="55"/>
      <c r="G300" s="55"/>
      <c r="H300" s="55"/>
      <c r="I300" s="55"/>
      <c r="J300" s="6">
        <v>6</v>
      </c>
      <c r="K300" s="58"/>
      <c r="L300" s="61"/>
    </row>
    <row r="301" spans="1:25" x14ac:dyDescent="0.25">
      <c r="A301" s="73"/>
      <c r="B301" s="55"/>
      <c r="C301" s="76"/>
      <c r="D301" s="79"/>
      <c r="E301" s="79"/>
      <c r="F301" s="55"/>
      <c r="G301" s="55"/>
      <c r="H301" s="55"/>
      <c r="I301" s="55"/>
      <c r="J301" s="6">
        <v>5</v>
      </c>
      <c r="K301" s="58"/>
      <c r="L301" s="61"/>
    </row>
    <row r="302" spans="1:25" ht="17.25" thickBot="1" x14ac:dyDescent="0.3">
      <c r="A302" s="74"/>
      <c r="B302" s="56"/>
      <c r="C302" s="77"/>
      <c r="D302" s="80"/>
      <c r="E302" s="80"/>
      <c r="F302" s="56"/>
      <c r="G302" s="56"/>
      <c r="H302" s="56"/>
      <c r="I302" s="56"/>
      <c r="J302" s="7">
        <v>1</v>
      </c>
      <c r="K302" s="59"/>
      <c r="L302" s="62"/>
      <c r="N302">
        <f t="shared" ref="N301:N357" si="85">A303</f>
        <v>2</v>
      </c>
      <c r="O302">
        <f t="shared" ref="O301:O357" si="86">B303</f>
        <v>5</v>
      </c>
      <c r="P302" t="str">
        <f t="shared" ref="P301:P357" si="87">C303</f>
        <v>好實力 (K381)</v>
      </c>
      <c r="Q302" t="str">
        <f t="shared" ref="Q301:Q357" si="88">D303</f>
        <v>周俊樂</v>
      </c>
      <c r="R302" t="str">
        <f t="shared" ref="R301:R357" si="89">E303</f>
        <v>呂健威</v>
      </c>
      <c r="S302">
        <f t="shared" ref="S301:S357" si="90">F303</f>
        <v>129</v>
      </c>
      <c r="T302">
        <f t="shared" ref="T301:T357" si="91">G303</f>
        <v>1086</v>
      </c>
      <c r="U302">
        <f t="shared" ref="U301:U357" si="92">H303</f>
        <v>12</v>
      </c>
      <c r="V302">
        <f t="shared" ref="V301:V357" si="93">I303</f>
        <v>38048</v>
      </c>
      <c r="W302" t="str">
        <f t="shared" ref="W298:W357" si="94">J303&amp;","&amp;J304&amp;","&amp;J305&amp;","&amp;J306&amp;","&amp;J307</f>
        <v>12,12,12,9,2</v>
      </c>
      <c r="X302" t="str">
        <f t="shared" ref="X301:X357" si="95">TEXT(K303, "mm:ss.0")</f>
        <v>01:48.5</v>
      </c>
      <c r="Y302">
        <f t="shared" ref="Y301:Y357" si="96">L303</f>
        <v>24</v>
      </c>
    </row>
    <row r="303" spans="1:25" x14ac:dyDescent="0.25">
      <c r="A303" s="63">
        <v>2</v>
      </c>
      <c r="B303" s="42">
        <v>5</v>
      </c>
      <c r="C303" s="66" t="s">
        <v>154</v>
      </c>
      <c r="D303" s="69" t="s">
        <v>19</v>
      </c>
      <c r="E303" s="69" t="s">
        <v>92</v>
      </c>
      <c r="F303" s="42">
        <v>129</v>
      </c>
      <c r="G303" s="42">
        <v>1086</v>
      </c>
      <c r="H303" s="42">
        <v>12</v>
      </c>
      <c r="I303" s="45">
        <v>38048</v>
      </c>
      <c r="J303" s="8">
        <v>12</v>
      </c>
      <c r="K303" s="48">
        <v>1.2552083333333334E-3</v>
      </c>
      <c r="L303" s="51">
        <v>24</v>
      </c>
    </row>
    <row r="304" spans="1:25" x14ac:dyDescent="0.25">
      <c r="A304" s="64"/>
      <c r="B304" s="43"/>
      <c r="C304" s="67"/>
      <c r="D304" s="70"/>
      <c r="E304" s="70"/>
      <c r="F304" s="43"/>
      <c r="G304" s="43"/>
      <c r="H304" s="43"/>
      <c r="I304" s="46"/>
      <c r="J304" s="9">
        <v>12</v>
      </c>
      <c r="K304" s="49"/>
      <c r="L304" s="52"/>
    </row>
    <row r="305" spans="1:25" x14ac:dyDescent="0.25">
      <c r="A305" s="64"/>
      <c r="B305" s="43"/>
      <c r="C305" s="67"/>
      <c r="D305" s="70"/>
      <c r="E305" s="70"/>
      <c r="F305" s="43"/>
      <c r="G305" s="43"/>
      <c r="H305" s="43"/>
      <c r="I305" s="46"/>
      <c r="J305" s="9">
        <v>12</v>
      </c>
      <c r="K305" s="49"/>
      <c r="L305" s="52"/>
    </row>
    <row r="306" spans="1:25" x14ac:dyDescent="0.25">
      <c r="A306" s="64"/>
      <c r="B306" s="43"/>
      <c r="C306" s="67"/>
      <c r="D306" s="70"/>
      <c r="E306" s="70"/>
      <c r="F306" s="43"/>
      <c r="G306" s="43"/>
      <c r="H306" s="43"/>
      <c r="I306" s="46"/>
      <c r="J306" s="9">
        <v>9</v>
      </c>
      <c r="K306" s="49"/>
      <c r="L306" s="52"/>
    </row>
    <row r="307" spans="1:25" ht="17.25" thickBot="1" x14ac:dyDescent="0.3">
      <c r="A307" s="88"/>
      <c r="B307" s="81"/>
      <c r="C307" s="89"/>
      <c r="D307" s="90"/>
      <c r="E307" s="90"/>
      <c r="F307" s="81"/>
      <c r="G307" s="81"/>
      <c r="H307" s="81"/>
      <c r="I307" s="82"/>
      <c r="J307" s="10">
        <v>2</v>
      </c>
      <c r="K307" s="83"/>
      <c r="L307" s="84"/>
      <c r="N307">
        <f t="shared" si="85"/>
        <v>3</v>
      </c>
      <c r="O307">
        <f t="shared" si="86"/>
        <v>2</v>
      </c>
      <c r="P307" t="str">
        <f t="shared" si="87"/>
        <v>紫荊傳令 (L108)</v>
      </c>
      <c r="Q307" t="str">
        <f t="shared" si="88"/>
        <v>潘頓</v>
      </c>
      <c r="R307" t="str">
        <f t="shared" si="89"/>
        <v>游達榮</v>
      </c>
      <c r="S307">
        <f t="shared" si="90"/>
        <v>135</v>
      </c>
      <c r="T307">
        <f t="shared" si="91"/>
        <v>1064</v>
      </c>
      <c r="U307">
        <f t="shared" si="92"/>
        <v>5</v>
      </c>
      <c r="V307">
        <f t="shared" si="93"/>
        <v>4</v>
      </c>
      <c r="W307" t="str">
        <f t="shared" si="94"/>
        <v>1,3,4,4,3</v>
      </c>
      <c r="X307" t="str">
        <f t="shared" si="95"/>
        <v>01:48.7</v>
      </c>
      <c r="Y307">
        <f t="shared" si="96"/>
        <v>4.4000000000000004</v>
      </c>
    </row>
    <row r="308" spans="1:25" x14ac:dyDescent="0.25">
      <c r="A308" s="72">
        <v>3</v>
      </c>
      <c r="B308" s="54">
        <v>2</v>
      </c>
      <c r="C308" s="75" t="s">
        <v>155</v>
      </c>
      <c r="D308" s="78" t="s">
        <v>23</v>
      </c>
      <c r="E308" s="78" t="s">
        <v>20</v>
      </c>
      <c r="F308" s="54">
        <v>135</v>
      </c>
      <c r="G308" s="54">
        <v>1064</v>
      </c>
      <c r="H308" s="54">
        <v>5</v>
      </c>
      <c r="I308" s="54">
        <v>4</v>
      </c>
      <c r="J308" s="5">
        <v>1</v>
      </c>
      <c r="K308" s="57">
        <v>1.2576388888888889E-3</v>
      </c>
      <c r="L308" s="60">
        <v>4.4000000000000004</v>
      </c>
    </row>
    <row r="309" spans="1:25" x14ac:dyDescent="0.25">
      <c r="A309" s="73"/>
      <c r="B309" s="55"/>
      <c r="C309" s="76"/>
      <c r="D309" s="79"/>
      <c r="E309" s="79"/>
      <c r="F309" s="55"/>
      <c r="G309" s="55"/>
      <c r="H309" s="55"/>
      <c r="I309" s="55"/>
      <c r="J309" s="6">
        <v>3</v>
      </c>
      <c r="K309" s="58"/>
      <c r="L309" s="61"/>
    </row>
    <row r="310" spans="1:25" x14ac:dyDescent="0.25">
      <c r="A310" s="73"/>
      <c r="B310" s="55"/>
      <c r="C310" s="76"/>
      <c r="D310" s="79"/>
      <c r="E310" s="79"/>
      <c r="F310" s="55"/>
      <c r="G310" s="55"/>
      <c r="H310" s="55"/>
      <c r="I310" s="55"/>
      <c r="J310" s="6">
        <v>4</v>
      </c>
      <c r="K310" s="58"/>
      <c r="L310" s="61"/>
    </row>
    <row r="311" spans="1:25" x14ac:dyDescent="0.25">
      <c r="A311" s="73"/>
      <c r="B311" s="55"/>
      <c r="C311" s="76"/>
      <c r="D311" s="79"/>
      <c r="E311" s="79"/>
      <c r="F311" s="55"/>
      <c r="G311" s="55"/>
      <c r="H311" s="55"/>
      <c r="I311" s="55"/>
      <c r="J311" s="6">
        <v>4</v>
      </c>
      <c r="K311" s="58"/>
      <c r="L311" s="61"/>
    </row>
    <row r="312" spans="1:25" ht="17.25" thickBot="1" x14ac:dyDescent="0.3">
      <c r="A312" s="74"/>
      <c r="B312" s="56"/>
      <c r="C312" s="77"/>
      <c r="D312" s="80"/>
      <c r="E312" s="80"/>
      <c r="F312" s="56"/>
      <c r="G312" s="56"/>
      <c r="H312" s="56"/>
      <c r="I312" s="56"/>
      <c r="J312" s="7">
        <v>3</v>
      </c>
      <c r="K312" s="59"/>
      <c r="L312" s="62"/>
      <c r="N312">
        <f t="shared" si="85"/>
        <v>4</v>
      </c>
      <c r="O312">
        <f t="shared" si="86"/>
        <v>9</v>
      </c>
      <c r="P312" t="str">
        <f t="shared" si="87"/>
        <v>中國心 (K395)</v>
      </c>
      <c r="Q312" t="str">
        <f t="shared" si="88"/>
        <v>楊明綸</v>
      </c>
      <c r="R312" t="str">
        <f t="shared" si="89"/>
        <v>大衛希斯</v>
      </c>
      <c r="S312">
        <f t="shared" si="90"/>
        <v>125</v>
      </c>
      <c r="T312">
        <f t="shared" si="91"/>
        <v>1109</v>
      </c>
      <c r="U312">
        <f t="shared" si="92"/>
        <v>11</v>
      </c>
      <c r="V312">
        <f t="shared" si="93"/>
        <v>37990</v>
      </c>
      <c r="W312" t="str">
        <f t="shared" si="94"/>
        <v>7,6,3,3,4</v>
      </c>
      <c r="X312" t="str">
        <f t="shared" si="95"/>
        <v>01:48.7</v>
      </c>
      <c r="Y312">
        <f t="shared" si="96"/>
        <v>12</v>
      </c>
    </row>
    <row r="313" spans="1:25" x14ac:dyDescent="0.25">
      <c r="A313" s="63">
        <v>4</v>
      </c>
      <c r="B313" s="42">
        <v>9</v>
      </c>
      <c r="C313" s="66" t="s">
        <v>156</v>
      </c>
      <c r="D313" s="69" t="s">
        <v>42</v>
      </c>
      <c r="E313" s="69" t="s">
        <v>24</v>
      </c>
      <c r="F313" s="42">
        <v>125</v>
      </c>
      <c r="G313" s="42">
        <v>1109</v>
      </c>
      <c r="H313" s="42">
        <v>11</v>
      </c>
      <c r="I313" s="45">
        <v>37990</v>
      </c>
      <c r="J313" s="8">
        <v>7</v>
      </c>
      <c r="K313" s="48">
        <v>1.2581018518518518E-3</v>
      </c>
      <c r="L313" s="51">
        <v>12</v>
      </c>
    </row>
    <row r="314" spans="1:25" x14ac:dyDescent="0.25">
      <c r="A314" s="64"/>
      <c r="B314" s="43"/>
      <c r="C314" s="67"/>
      <c r="D314" s="70"/>
      <c r="E314" s="70"/>
      <c r="F314" s="43"/>
      <c r="G314" s="43"/>
      <c r="H314" s="43"/>
      <c r="I314" s="46"/>
      <c r="J314" s="9">
        <v>6</v>
      </c>
      <c r="K314" s="49"/>
      <c r="L314" s="52"/>
    </row>
    <row r="315" spans="1:25" x14ac:dyDescent="0.25">
      <c r="A315" s="64"/>
      <c r="B315" s="43"/>
      <c r="C315" s="67"/>
      <c r="D315" s="70"/>
      <c r="E315" s="70"/>
      <c r="F315" s="43"/>
      <c r="G315" s="43"/>
      <c r="H315" s="43"/>
      <c r="I315" s="46"/>
      <c r="J315" s="9">
        <v>3</v>
      </c>
      <c r="K315" s="49"/>
      <c r="L315" s="52"/>
    </row>
    <row r="316" spans="1:25" x14ac:dyDescent="0.25">
      <c r="A316" s="64"/>
      <c r="B316" s="43"/>
      <c r="C316" s="67"/>
      <c r="D316" s="70"/>
      <c r="E316" s="70"/>
      <c r="F316" s="43"/>
      <c r="G316" s="43"/>
      <c r="H316" s="43"/>
      <c r="I316" s="46"/>
      <c r="J316" s="9">
        <v>3</v>
      </c>
      <c r="K316" s="49"/>
      <c r="L316" s="52"/>
    </row>
    <row r="317" spans="1:25" ht="17.25" thickBot="1" x14ac:dyDescent="0.3">
      <c r="A317" s="88"/>
      <c r="B317" s="81"/>
      <c r="C317" s="89"/>
      <c r="D317" s="90"/>
      <c r="E317" s="90"/>
      <c r="F317" s="81"/>
      <c r="G317" s="81"/>
      <c r="H317" s="81"/>
      <c r="I317" s="82"/>
      <c r="J317" s="10">
        <v>4</v>
      </c>
      <c r="K317" s="83"/>
      <c r="L317" s="84"/>
      <c r="N317">
        <f t="shared" si="85"/>
        <v>5</v>
      </c>
      <c r="O317">
        <f t="shared" si="86"/>
        <v>10</v>
      </c>
      <c r="P317" t="str">
        <f t="shared" si="87"/>
        <v>風將 (L184)</v>
      </c>
      <c r="Q317" t="str">
        <f t="shared" si="88"/>
        <v>蔡明紹</v>
      </c>
      <c r="R317" t="str">
        <f t="shared" si="89"/>
        <v>告東尼</v>
      </c>
      <c r="S317">
        <f t="shared" si="90"/>
        <v>122</v>
      </c>
      <c r="T317">
        <f t="shared" si="91"/>
        <v>1104</v>
      </c>
      <c r="U317">
        <f t="shared" si="92"/>
        <v>10</v>
      </c>
      <c r="V317">
        <f t="shared" si="93"/>
        <v>38050</v>
      </c>
      <c r="W317" t="str">
        <f t="shared" si="94"/>
        <v>3,1,1,1,5</v>
      </c>
      <c r="X317" t="str">
        <f t="shared" si="95"/>
        <v>01:48.8</v>
      </c>
      <c r="Y317">
        <f t="shared" si="96"/>
        <v>3.1</v>
      </c>
    </row>
    <row r="318" spans="1:25" x14ac:dyDescent="0.25">
      <c r="A318" s="72">
        <v>5</v>
      </c>
      <c r="B318" s="54">
        <v>10</v>
      </c>
      <c r="C318" s="75" t="s">
        <v>157</v>
      </c>
      <c r="D318" s="78" t="s">
        <v>76</v>
      </c>
      <c r="E318" s="78" t="s">
        <v>66</v>
      </c>
      <c r="F318" s="54">
        <v>122</v>
      </c>
      <c r="G318" s="54">
        <v>1104</v>
      </c>
      <c r="H318" s="54">
        <v>10</v>
      </c>
      <c r="I318" s="85">
        <v>38050</v>
      </c>
      <c r="J318" s="5">
        <v>3</v>
      </c>
      <c r="K318" s="57">
        <v>1.2591435185185184E-3</v>
      </c>
      <c r="L318" s="60">
        <v>3.1</v>
      </c>
    </row>
    <row r="319" spans="1:25" x14ac:dyDescent="0.25">
      <c r="A319" s="73"/>
      <c r="B319" s="55"/>
      <c r="C319" s="76"/>
      <c r="D319" s="79"/>
      <c r="E319" s="79"/>
      <c r="F319" s="55"/>
      <c r="G319" s="55"/>
      <c r="H319" s="55"/>
      <c r="I319" s="86"/>
      <c r="J319" s="6">
        <v>1</v>
      </c>
      <c r="K319" s="58"/>
      <c r="L319" s="61"/>
    </row>
    <row r="320" spans="1:25" x14ac:dyDescent="0.25">
      <c r="A320" s="73"/>
      <c r="B320" s="55"/>
      <c r="C320" s="76"/>
      <c r="D320" s="79"/>
      <c r="E320" s="79"/>
      <c r="F320" s="55"/>
      <c r="G320" s="55"/>
      <c r="H320" s="55"/>
      <c r="I320" s="86"/>
      <c r="J320" s="6">
        <v>1</v>
      </c>
      <c r="K320" s="58"/>
      <c r="L320" s="61"/>
    </row>
    <row r="321" spans="1:25" x14ac:dyDescent="0.25">
      <c r="A321" s="73"/>
      <c r="B321" s="55"/>
      <c r="C321" s="76"/>
      <c r="D321" s="79"/>
      <c r="E321" s="79"/>
      <c r="F321" s="55"/>
      <c r="G321" s="55"/>
      <c r="H321" s="55"/>
      <c r="I321" s="86"/>
      <c r="J321" s="6">
        <v>1</v>
      </c>
      <c r="K321" s="58"/>
      <c r="L321" s="61"/>
    </row>
    <row r="322" spans="1:25" ht="17.25" thickBot="1" x14ac:dyDescent="0.3">
      <c r="A322" s="74"/>
      <c r="B322" s="56"/>
      <c r="C322" s="77"/>
      <c r="D322" s="80"/>
      <c r="E322" s="80"/>
      <c r="F322" s="56"/>
      <c r="G322" s="56"/>
      <c r="H322" s="56"/>
      <c r="I322" s="87"/>
      <c r="J322" s="7">
        <v>5</v>
      </c>
      <c r="K322" s="59"/>
      <c r="L322" s="62"/>
      <c r="N322">
        <f t="shared" si="85"/>
        <v>6</v>
      </c>
      <c r="O322">
        <f t="shared" si="86"/>
        <v>8</v>
      </c>
      <c r="P322" t="str">
        <f t="shared" si="87"/>
        <v>豐辰 (K004)</v>
      </c>
      <c r="Q322" t="str">
        <f t="shared" si="88"/>
        <v>田泰安</v>
      </c>
      <c r="R322" t="str">
        <f t="shared" si="89"/>
        <v>徐雨石</v>
      </c>
      <c r="S322">
        <f t="shared" si="90"/>
        <v>126</v>
      </c>
      <c r="T322">
        <f t="shared" si="91"/>
        <v>1129</v>
      </c>
      <c r="U322">
        <f t="shared" si="92"/>
        <v>9</v>
      </c>
      <c r="V322">
        <f t="shared" si="93"/>
        <v>6</v>
      </c>
      <c r="W322" t="str">
        <f t="shared" si="94"/>
        <v>11,11,9,8,6</v>
      </c>
      <c r="X322" t="str">
        <f t="shared" si="95"/>
        <v>01:49.0</v>
      </c>
      <c r="Y322">
        <f t="shared" si="96"/>
        <v>11</v>
      </c>
    </row>
    <row r="323" spans="1:25" x14ac:dyDescent="0.25">
      <c r="A323" s="63">
        <v>6</v>
      </c>
      <c r="B323" s="42">
        <v>8</v>
      </c>
      <c r="C323" s="66" t="s">
        <v>158</v>
      </c>
      <c r="D323" s="69" t="s">
        <v>27</v>
      </c>
      <c r="E323" s="69" t="s">
        <v>46</v>
      </c>
      <c r="F323" s="42">
        <v>126</v>
      </c>
      <c r="G323" s="42">
        <v>1129</v>
      </c>
      <c r="H323" s="42">
        <v>9</v>
      </c>
      <c r="I323" s="42">
        <v>6</v>
      </c>
      <c r="J323" s="8">
        <v>11</v>
      </c>
      <c r="K323" s="48">
        <v>1.2612268518518519E-3</v>
      </c>
      <c r="L323" s="51">
        <v>11</v>
      </c>
    </row>
    <row r="324" spans="1:25" x14ac:dyDescent="0.25">
      <c r="A324" s="64"/>
      <c r="B324" s="43"/>
      <c r="C324" s="67"/>
      <c r="D324" s="70"/>
      <c r="E324" s="70"/>
      <c r="F324" s="43"/>
      <c r="G324" s="43"/>
      <c r="H324" s="43"/>
      <c r="I324" s="43"/>
      <c r="J324" s="9">
        <v>11</v>
      </c>
      <c r="K324" s="49"/>
      <c r="L324" s="52"/>
    </row>
    <row r="325" spans="1:25" x14ac:dyDescent="0.25">
      <c r="A325" s="64"/>
      <c r="B325" s="43"/>
      <c r="C325" s="67"/>
      <c r="D325" s="70"/>
      <c r="E325" s="70"/>
      <c r="F325" s="43"/>
      <c r="G325" s="43"/>
      <c r="H325" s="43"/>
      <c r="I325" s="43"/>
      <c r="J325" s="9">
        <v>9</v>
      </c>
      <c r="K325" s="49"/>
      <c r="L325" s="52"/>
    </row>
    <row r="326" spans="1:25" x14ac:dyDescent="0.25">
      <c r="A326" s="64"/>
      <c r="B326" s="43"/>
      <c r="C326" s="67"/>
      <c r="D326" s="70"/>
      <c r="E326" s="70"/>
      <c r="F326" s="43"/>
      <c r="G326" s="43"/>
      <c r="H326" s="43"/>
      <c r="I326" s="43"/>
      <c r="J326" s="9">
        <v>8</v>
      </c>
      <c r="K326" s="49"/>
      <c r="L326" s="52"/>
    </row>
    <row r="327" spans="1:25" ht="17.25" thickBot="1" x14ac:dyDescent="0.3">
      <c r="A327" s="88"/>
      <c r="B327" s="81"/>
      <c r="C327" s="89"/>
      <c r="D327" s="90"/>
      <c r="E327" s="90"/>
      <c r="F327" s="81"/>
      <c r="G327" s="81"/>
      <c r="H327" s="81"/>
      <c r="I327" s="81"/>
      <c r="J327" s="10">
        <v>6</v>
      </c>
      <c r="K327" s="83"/>
      <c r="L327" s="84"/>
      <c r="N327">
        <f t="shared" si="85"/>
        <v>7</v>
      </c>
      <c r="O327">
        <f t="shared" si="86"/>
        <v>12</v>
      </c>
      <c r="P327" t="str">
        <f t="shared" si="87"/>
        <v>財富非凡 (L057)</v>
      </c>
      <c r="Q327" t="str">
        <f t="shared" si="88"/>
        <v>班德禮</v>
      </c>
      <c r="R327" t="str">
        <f t="shared" si="89"/>
        <v>巫偉傑</v>
      </c>
      <c r="S327">
        <f t="shared" si="90"/>
        <v>117</v>
      </c>
      <c r="T327">
        <f t="shared" si="91"/>
        <v>1107</v>
      </c>
      <c r="U327">
        <f t="shared" si="92"/>
        <v>6</v>
      </c>
      <c r="V327">
        <f t="shared" si="93"/>
        <v>6</v>
      </c>
      <c r="W327" t="str">
        <f t="shared" si="94"/>
        <v>2,4,5,6,7</v>
      </c>
      <c r="X327" t="str">
        <f t="shared" si="95"/>
        <v>01:49.0</v>
      </c>
      <c r="Y327">
        <f t="shared" si="96"/>
        <v>16</v>
      </c>
    </row>
    <row r="328" spans="1:25" x14ac:dyDescent="0.25">
      <c r="A328" s="72">
        <v>7</v>
      </c>
      <c r="B328" s="54">
        <v>12</v>
      </c>
      <c r="C328" s="75" t="s">
        <v>159</v>
      </c>
      <c r="D328" s="78" t="s">
        <v>68</v>
      </c>
      <c r="E328" s="78" t="s">
        <v>28</v>
      </c>
      <c r="F328" s="54">
        <v>117</v>
      </c>
      <c r="G328" s="54">
        <v>1107</v>
      </c>
      <c r="H328" s="54">
        <v>6</v>
      </c>
      <c r="I328" s="54">
        <v>6</v>
      </c>
      <c r="J328" s="5">
        <v>2</v>
      </c>
      <c r="K328" s="57">
        <v>1.2616898148148147E-3</v>
      </c>
      <c r="L328" s="60">
        <v>16</v>
      </c>
    </row>
    <row r="329" spans="1:25" x14ac:dyDescent="0.25">
      <c r="A329" s="73"/>
      <c r="B329" s="55"/>
      <c r="C329" s="76"/>
      <c r="D329" s="79"/>
      <c r="E329" s="79"/>
      <c r="F329" s="55"/>
      <c r="G329" s="55"/>
      <c r="H329" s="55"/>
      <c r="I329" s="55"/>
      <c r="J329" s="6">
        <v>4</v>
      </c>
      <c r="K329" s="58"/>
      <c r="L329" s="61"/>
    </row>
    <row r="330" spans="1:25" x14ac:dyDescent="0.25">
      <c r="A330" s="73"/>
      <c r="B330" s="55"/>
      <c r="C330" s="76"/>
      <c r="D330" s="79"/>
      <c r="E330" s="79"/>
      <c r="F330" s="55"/>
      <c r="G330" s="55"/>
      <c r="H330" s="55"/>
      <c r="I330" s="55"/>
      <c r="J330" s="6">
        <v>5</v>
      </c>
      <c r="K330" s="58"/>
      <c r="L330" s="61"/>
    </row>
    <row r="331" spans="1:25" x14ac:dyDescent="0.25">
      <c r="A331" s="73"/>
      <c r="B331" s="55"/>
      <c r="C331" s="76"/>
      <c r="D331" s="79"/>
      <c r="E331" s="79"/>
      <c r="F331" s="55"/>
      <c r="G331" s="55"/>
      <c r="H331" s="55"/>
      <c r="I331" s="55"/>
      <c r="J331" s="6">
        <v>6</v>
      </c>
      <c r="K331" s="58"/>
      <c r="L331" s="61"/>
    </row>
    <row r="332" spans="1:25" ht="17.25" thickBot="1" x14ac:dyDescent="0.3">
      <c r="A332" s="74"/>
      <c r="B332" s="56"/>
      <c r="C332" s="77"/>
      <c r="D332" s="80"/>
      <c r="E332" s="80"/>
      <c r="F332" s="56"/>
      <c r="G332" s="56"/>
      <c r="H332" s="56"/>
      <c r="I332" s="56"/>
      <c r="J332" s="7">
        <v>7</v>
      </c>
      <c r="K332" s="59"/>
      <c r="L332" s="62"/>
      <c r="N332">
        <f t="shared" si="85"/>
        <v>8</v>
      </c>
      <c r="O332">
        <f t="shared" si="86"/>
        <v>4</v>
      </c>
      <c r="P332" t="str">
        <f t="shared" si="87"/>
        <v>平凡騎士 (K161)</v>
      </c>
      <c r="Q332" t="str">
        <f t="shared" si="88"/>
        <v>霍宏聲</v>
      </c>
      <c r="R332" t="str">
        <f t="shared" si="89"/>
        <v>方嘉柏</v>
      </c>
      <c r="S332">
        <f t="shared" si="90"/>
        <v>132</v>
      </c>
      <c r="T332">
        <f t="shared" si="91"/>
        <v>1067</v>
      </c>
      <c r="U332">
        <f t="shared" si="92"/>
        <v>3</v>
      </c>
      <c r="V332">
        <f t="shared" si="93"/>
        <v>37992</v>
      </c>
      <c r="W332" t="str">
        <f t="shared" si="94"/>
        <v>6,7,8,10,8</v>
      </c>
      <c r="X332" t="str">
        <f t="shared" si="95"/>
        <v>01:49.0</v>
      </c>
      <c r="Y332">
        <f t="shared" si="96"/>
        <v>10</v>
      </c>
    </row>
    <row r="333" spans="1:25" x14ac:dyDescent="0.25">
      <c r="A333" s="63">
        <v>8</v>
      </c>
      <c r="B333" s="42">
        <v>4</v>
      </c>
      <c r="C333" s="66" t="s">
        <v>160</v>
      </c>
      <c r="D333" s="69" t="s">
        <v>33</v>
      </c>
      <c r="E333" s="69" t="s">
        <v>37</v>
      </c>
      <c r="F333" s="42">
        <v>132</v>
      </c>
      <c r="G333" s="42">
        <v>1067</v>
      </c>
      <c r="H333" s="42">
        <v>3</v>
      </c>
      <c r="I333" s="45">
        <v>37992</v>
      </c>
      <c r="J333" s="8">
        <v>6</v>
      </c>
      <c r="K333" s="48">
        <v>1.262037037037037E-3</v>
      </c>
      <c r="L333" s="51">
        <v>10</v>
      </c>
    </row>
    <row r="334" spans="1:25" x14ac:dyDescent="0.25">
      <c r="A334" s="64"/>
      <c r="B334" s="43"/>
      <c r="C334" s="67"/>
      <c r="D334" s="70"/>
      <c r="E334" s="70"/>
      <c r="F334" s="43"/>
      <c r="G334" s="43"/>
      <c r="H334" s="43"/>
      <c r="I334" s="46"/>
      <c r="J334" s="9">
        <v>7</v>
      </c>
      <c r="K334" s="49"/>
      <c r="L334" s="52"/>
    </row>
    <row r="335" spans="1:25" x14ac:dyDescent="0.25">
      <c r="A335" s="64"/>
      <c r="B335" s="43"/>
      <c r="C335" s="67"/>
      <c r="D335" s="70"/>
      <c r="E335" s="70"/>
      <c r="F335" s="43"/>
      <c r="G335" s="43"/>
      <c r="H335" s="43"/>
      <c r="I335" s="46"/>
      <c r="J335" s="9">
        <v>8</v>
      </c>
      <c r="K335" s="49"/>
      <c r="L335" s="52"/>
    </row>
    <row r="336" spans="1:25" x14ac:dyDescent="0.25">
      <c r="A336" s="64"/>
      <c r="B336" s="43"/>
      <c r="C336" s="67"/>
      <c r="D336" s="70"/>
      <c r="E336" s="70"/>
      <c r="F336" s="43"/>
      <c r="G336" s="43"/>
      <c r="H336" s="43"/>
      <c r="I336" s="46"/>
      <c r="J336" s="9">
        <v>10</v>
      </c>
      <c r="K336" s="49"/>
      <c r="L336" s="52"/>
    </row>
    <row r="337" spans="1:25" ht="17.25" thickBot="1" x14ac:dyDescent="0.3">
      <c r="A337" s="88"/>
      <c r="B337" s="81"/>
      <c r="C337" s="89"/>
      <c r="D337" s="90"/>
      <c r="E337" s="90"/>
      <c r="F337" s="81"/>
      <c r="G337" s="81"/>
      <c r="H337" s="81"/>
      <c r="I337" s="82"/>
      <c r="J337" s="10">
        <v>8</v>
      </c>
      <c r="K337" s="83"/>
      <c r="L337" s="84"/>
      <c r="N337">
        <f t="shared" si="85"/>
        <v>9</v>
      </c>
      <c r="O337">
        <f t="shared" si="86"/>
        <v>11</v>
      </c>
      <c r="P337" t="str">
        <f t="shared" si="87"/>
        <v>瑪瑙 (G306)</v>
      </c>
      <c r="Q337" t="str">
        <f t="shared" si="88"/>
        <v>潘明輝</v>
      </c>
      <c r="R337" t="str">
        <f t="shared" si="89"/>
        <v>羅富全</v>
      </c>
      <c r="S337">
        <f t="shared" si="90"/>
        <v>119</v>
      </c>
      <c r="T337">
        <f t="shared" si="91"/>
        <v>1149</v>
      </c>
      <c r="U337">
        <f t="shared" si="92"/>
        <v>4</v>
      </c>
      <c r="V337">
        <f t="shared" si="93"/>
        <v>38055</v>
      </c>
      <c r="W337" t="str">
        <f t="shared" si="94"/>
        <v>5,2,2,2,9</v>
      </c>
      <c r="X337" t="str">
        <f t="shared" si="95"/>
        <v>01:49.6</v>
      </c>
      <c r="Y337">
        <f t="shared" si="96"/>
        <v>34</v>
      </c>
    </row>
    <row r="338" spans="1:25" x14ac:dyDescent="0.25">
      <c r="A338" s="72">
        <v>9</v>
      </c>
      <c r="B338" s="54">
        <v>11</v>
      </c>
      <c r="C338" s="75" t="s">
        <v>161</v>
      </c>
      <c r="D338" s="78" t="s">
        <v>70</v>
      </c>
      <c r="E338" s="78" t="s">
        <v>74</v>
      </c>
      <c r="F338" s="54">
        <v>119</v>
      </c>
      <c r="G338" s="54">
        <v>1149</v>
      </c>
      <c r="H338" s="54">
        <v>4</v>
      </c>
      <c r="I338" s="85">
        <v>38055</v>
      </c>
      <c r="J338" s="5">
        <v>5</v>
      </c>
      <c r="K338" s="57">
        <v>1.268287037037037E-3</v>
      </c>
      <c r="L338" s="60">
        <v>34</v>
      </c>
    </row>
    <row r="339" spans="1:25" x14ac:dyDescent="0.25">
      <c r="A339" s="73"/>
      <c r="B339" s="55"/>
      <c r="C339" s="76"/>
      <c r="D339" s="79"/>
      <c r="E339" s="79"/>
      <c r="F339" s="55"/>
      <c r="G339" s="55"/>
      <c r="H339" s="55"/>
      <c r="I339" s="86"/>
      <c r="J339" s="6">
        <v>2</v>
      </c>
      <c r="K339" s="58"/>
      <c r="L339" s="61"/>
    </row>
    <row r="340" spans="1:25" x14ac:dyDescent="0.25">
      <c r="A340" s="73"/>
      <c r="B340" s="55"/>
      <c r="C340" s="76"/>
      <c r="D340" s="79"/>
      <c r="E340" s="79"/>
      <c r="F340" s="55"/>
      <c r="G340" s="55"/>
      <c r="H340" s="55"/>
      <c r="I340" s="86"/>
      <c r="J340" s="6">
        <v>2</v>
      </c>
      <c r="K340" s="58"/>
      <c r="L340" s="61"/>
    </row>
    <row r="341" spans="1:25" x14ac:dyDescent="0.25">
      <c r="A341" s="73"/>
      <c r="B341" s="55"/>
      <c r="C341" s="76"/>
      <c r="D341" s="79"/>
      <c r="E341" s="79"/>
      <c r="F341" s="55"/>
      <c r="G341" s="55"/>
      <c r="H341" s="55"/>
      <c r="I341" s="86"/>
      <c r="J341" s="6">
        <v>2</v>
      </c>
      <c r="K341" s="58"/>
      <c r="L341" s="61"/>
    </row>
    <row r="342" spans="1:25" ht="17.25" thickBot="1" x14ac:dyDescent="0.3">
      <c r="A342" s="74"/>
      <c r="B342" s="56"/>
      <c r="C342" s="77"/>
      <c r="D342" s="80"/>
      <c r="E342" s="80"/>
      <c r="F342" s="56"/>
      <c r="G342" s="56"/>
      <c r="H342" s="56"/>
      <c r="I342" s="87"/>
      <c r="J342" s="7">
        <v>9</v>
      </c>
      <c r="K342" s="59"/>
      <c r="L342" s="62"/>
      <c r="N342">
        <f t="shared" si="85"/>
        <v>10</v>
      </c>
      <c r="O342">
        <f t="shared" si="86"/>
        <v>1</v>
      </c>
      <c r="P342" t="str">
        <f t="shared" si="87"/>
        <v>嘉應傳承 (J075)</v>
      </c>
      <c r="Q342" t="str">
        <f t="shared" si="88"/>
        <v>艾兆禮</v>
      </c>
      <c r="R342" t="str">
        <f t="shared" si="89"/>
        <v>伍鵬志</v>
      </c>
      <c r="S342">
        <f t="shared" si="90"/>
        <v>135</v>
      </c>
      <c r="T342">
        <f t="shared" si="91"/>
        <v>1192</v>
      </c>
      <c r="U342">
        <f t="shared" si="92"/>
        <v>1</v>
      </c>
      <c r="V342">
        <f t="shared" si="93"/>
        <v>37269</v>
      </c>
      <c r="W342" t="str">
        <f t="shared" si="94"/>
        <v>9,8,10,11,10</v>
      </c>
      <c r="X342" t="str">
        <f t="shared" si="95"/>
        <v>01:50.2</v>
      </c>
      <c r="Y342">
        <f t="shared" si="96"/>
        <v>14</v>
      </c>
    </row>
    <row r="343" spans="1:25" x14ac:dyDescent="0.25">
      <c r="A343" s="63">
        <v>10</v>
      </c>
      <c r="B343" s="42">
        <v>1</v>
      </c>
      <c r="C343" s="66" t="s">
        <v>162</v>
      </c>
      <c r="D343" s="69" t="s">
        <v>39</v>
      </c>
      <c r="E343" s="69" t="s">
        <v>113</v>
      </c>
      <c r="F343" s="42">
        <v>135</v>
      </c>
      <c r="G343" s="42">
        <v>1192</v>
      </c>
      <c r="H343" s="42">
        <v>1</v>
      </c>
      <c r="I343" s="45">
        <v>37269</v>
      </c>
      <c r="J343" s="8">
        <v>9</v>
      </c>
      <c r="K343" s="48">
        <v>1.2755787037037039E-3</v>
      </c>
      <c r="L343" s="51">
        <v>14</v>
      </c>
    </row>
    <row r="344" spans="1:25" x14ac:dyDescent="0.25">
      <c r="A344" s="64"/>
      <c r="B344" s="43"/>
      <c r="C344" s="67"/>
      <c r="D344" s="70"/>
      <c r="E344" s="70"/>
      <c r="F344" s="43"/>
      <c r="G344" s="43"/>
      <c r="H344" s="43"/>
      <c r="I344" s="46"/>
      <c r="J344" s="9">
        <v>8</v>
      </c>
      <c r="K344" s="49"/>
      <c r="L344" s="52"/>
    </row>
    <row r="345" spans="1:25" x14ac:dyDescent="0.25">
      <c r="A345" s="64"/>
      <c r="B345" s="43"/>
      <c r="C345" s="67"/>
      <c r="D345" s="70"/>
      <c r="E345" s="70"/>
      <c r="F345" s="43"/>
      <c r="G345" s="43"/>
      <c r="H345" s="43"/>
      <c r="I345" s="46"/>
      <c r="J345" s="9">
        <v>10</v>
      </c>
      <c r="K345" s="49"/>
      <c r="L345" s="52"/>
    </row>
    <row r="346" spans="1:25" x14ac:dyDescent="0.25">
      <c r="A346" s="64"/>
      <c r="B346" s="43"/>
      <c r="C346" s="67"/>
      <c r="D346" s="70"/>
      <c r="E346" s="70"/>
      <c r="F346" s="43"/>
      <c r="G346" s="43"/>
      <c r="H346" s="43"/>
      <c r="I346" s="46"/>
      <c r="J346" s="9">
        <v>11</v>
      </c>
      <c r="K346" s="49"/>
      <c r="L346" s="52"/>
    </row>
    <row r="347" spans="1:25" ht="17.25" thickBot="1" x14ac:dyDescent="0.3">
      <c r="A347" s="88"/>
      <c r="B347" s="81"/>
      <c r="C347" s="89"/>
      <c r="D347" s="90"/>
      <c r="E347" s="90"/>
      <c r="F347" s="81"/>
      <c r="G347" s="81"/>
      <c r="H347" s="81"/>
      <c r="I347" s="82"/>
      <c r="J347" s="10">
        <v>10</v>
      </c>
      <c r="K347" s="83"/>
      <c r="L347" s="84"/>
      <c r="N347">
        <f t="shared" si="85"/>
        <v>11</v>
      </c>
      <c r="O347">
        <f t="shared" si="86"/>
        <v>7</v>
      </c>
      <c r="P347" t="str">
        <f t="shared" si="87"/>
        <v>浪漫鬥士 (L240)</v>
      </c>
      <c r="Q347" t="str">
        <f t="shared" si="88"/>
        <v>黃智弘</v>
      </c>
      <c r="R347" t="str">
        <f t="shared" si="89"/>
        <v>沈集成</v>
      </c>
      <c r="S347">
        <f t="shared" si="90"/>
        <v>123</v>
      </c>
      <c r="T347">
        <f t="shared" si="91"/>
        <v>1003</v>
      </c>
      <c r="U347">
        <f t="shared" si="92"/>
        <v>2</v>
      </c>
      <c r="V347">
        <f t="shared" si="93"/>
        <v>17</v>
      </c>
      <c r="W347" t="str">
        <f t="shared" si="94"/>
        <v>4,5,7,7,11</v>
      </c>
      <c r="X347" t="str">
        <f t="shared" si="95"/>
        <v>01:50.7</v>
      </c>
      <c r="Y347">
        <f t="shared" si="96"/>
        <v>22</v>
      </c>
    </row>
    <row r="348" spans="1:25" x14ac:dyDescent="0.25">
      <c r="A348" s="72">
        <v>11</v>
      </c>
      <c r="B348" s="54">
        <v>7</v>
      </c>
      <c r="C348" s="75" t="s">
        <v>163</v>
      </c>
      <c r="D348" s="78" t="s">
        <v>80</v>
      </c>
      <c r="E348" s="78" t="s">
        <v>60</v>
      </c>
      <c r="F348" s="54">
        <v>123</v>
      </c>
      <c r="G348" s="54">
        <v>1003</v>
      </c>
      <c r="H348" s="54">
        <v>2</v>
      </c>
      <c r="I348" s="54">
        <v>17</v>
      </c>
      <c r="J348" s="5">
        <v>4</v>
      </c>
      <c r="K348" s="57">
        <v>1.2818287037037036E-3</v>
      </c>
      <c r="L348" s="60">
        <v>22</v>
      </c>
    </row>
    <row r="349" spans="1:25" x14ac:dyDescent="0.25">
      <c r="A349" s="73"/>
      <c r="B349" s="55"/>
      <c r="C349" s="76"/>
      <c r="D349" s="79"/>
      <c r="E349" s="79"/>
      <c r="F349" s="55"/>
      <c r="G349" s="55"/>
      <c r="H349" s="55"/>
      <c r="I349" s="55"/>
      <c r="J349" s="6">
        <v>5</v>
      </c>
      <c r="K349" s="58"/>
      <c r="L349" s="61"/>
    </row>
    <row r="350" spans="1:25" x14ac:dyDescent="0.25">
      <c r="A350" s="73"/>
      <c r="B350" s="55"/>
      <c r="C350" s="76"/>
      <c r="D350" s="79"/>
      <c r="E350" s="79"/>
      <c r="F350" s="55"/>
      <c r="G350" s="55"/>
      <c r="H350" s="55"/>
      <c r="I350" s="55"/>
      <c r="J350" s="6">
        <v>7</v>
      </c>
      <c r="K350" s="58"/>
      <c r="L350" s="61"/>
    </row>
    <row r="351" spans="1:25" x14ac:dyDescent="0.25">
      <c r="A351" s="73"/>
      <c r="B351" s="55"/>
      <c r="C351" s="76"/>
      <c r="D351" s="79"/>
      <c r="E351" s="79"/>
      <c r="F351" s="55"/>
      <c r="G351" s="55"/>
      <c r="H351" s="55"/>
      <c r="I351" s="55"/>
      <c r="J351" s="6">
        <v>7</v>
      </c>
      <c r="K351" s="58"/>
      <c r="L351" s="61"/>
    </row>
    <row r="352" spans="1:25" ht="17.25" thickBot="1" x14ac:dyDescent="0.3">
      <c r="A352" s="74"/>
      <c r="B352" s="56"/>
      <c r="C352" s="77"/>
      <c r="D352" s="80"/>
      <c r="E352" s="80"/>
      <c r="F352" s="56"/>
      <c r="G352" s="56"/>
      <c r="H352" s="56"/>
      <c r="I352" s="56"/>
      <c r="J352" s="7">
        <v>11</v>
      </c>
      <c r="K352" s="59"/>
      <c r="L352" s="62"/>
      <c r="N352">
        <f t="shared" si="85"/>
        <v>12</v>
      </c>
      <c r="O352">
        <f t="shared" si="86"/>
        <v>3</v>
      </c>
      <c r="P352" t="str">
        <f t="shared" si="87"/>
        <v>凌登 (L151)</v>
      </c>
      <c r="Q352" t="str">
        <f t="shared" si="88"/>
        <v>奧爾民</v>
      </c>
      <c r="R352" t="str">
        <f t="shared" si="89"/>
        <v>沈集成</v>
      </c>
      <c r="S352">
        <f t="shared" si="90"/>
        <v>135</v>
      </c>
      <c r="T352">
        <f t="shared" si="91"/>
        <v>1140</v>
      </c>
      <c r="U352">
        <f t="shared" si="92"/>
        <v>7</v>
      </c>
      <c r="V352">
        <f t="shared" si="93"/>
        <v>37273</v>
      </c>
      <c r="W352" t="str">
        <f t="shared" si="94"/>
        <v>8,10,11,12,12</v>
      </c>
      <c r="X352" t="str">
        <f t="shared" si="95"/>
        <v>01:50.8</v>
      </c>
      <c r="Y352">
        <f t="shared" si="96"/>
        <v>14</v>
      </c>
    </row>
    <row r="353" spans="1:25" x14ac:dyDescent="0.25">
      <c r="A353" s="63">
        <v>12</v>
      </c>
      <c r="B353" s="42">
        <v>3</v>
      </c>
      <c r="C353" s="66" t="s">
        <v>164</v>
      </c>
      <c r="D353" s="69" t="s">
        <v>51</v>
      </c>
      <c r="E353" s="69" t="s">
        <v>60</v>
      </c>
      <c r="F353" s="42">
        <v>135</v>
      </c>
      <c r="G353" s="42">
        <v>1140</v>
      </c>
      <c r="H353" s="42">
        <v>7</v>
      </c>
      <c r="I353" s="45">
        <v>37273</v>
      </c>
      <c r="J353" s="8">
        <v>8</v>
      </c>
      <c r="K353" s="48">
        <v>1.2828703703703704E-3</v>
      </c>
      <c r="L353" s="51">
        <v>14</v>
      </c>
      <c r="N353">
        <f t="shared" ref="N353:N383" si="97">A354</f>
        <v>0</v>
      </c>
      <c r="O353">
        <f t="shared" ref="O353:O383" si="98">B354</f>
        <v>0</v>
      </c>
      <c r="P353">
        <f t="shared" ref="P353:P383" si="99">C354</f>
        <v>0</v>
      </c>
      <c r="Q353">
        <f t="shared" ref="Q353:Q383" si="100">D354</f>
        <v>0</v>
      </c>
      <c r="R353">
        <f t="shared" ref="R353:R383" si="101">E354</f>
        <v>0</v>
      </c>
      <c r="S353">
        <f t="shared" ref="S353:S383" si="102">F354</f>
        <v>0</v>
      </c>
      <c r="T353">
        <f t="shared" ref="T353:T383" si="103">G354</f>
        <v>0</v>
      </c>
      <c r="U353">
        <f t="shared" ref="U353:U383" si="104">H354</f>
        <v>0</v>
      </c>
      <c r="V353">
        <f t="shared" ref="V353:V383" si="105">I354</f>
        <v>0</v>
      </c>
      <c r="W353" t="str">
        <f t="shared" ref="W353:W383" si="106">J354&amp;","&amp;J355&amp;","&amp;J356&amp;","&amp;J357&amp;","&amp;J358</f>
        <v>10,11,12,12,</v>
      </c>
      <c r="X353" t="str">
        <f t="shared" ref="X353:X383" si="107">TEXT(K354, "mm:ss.0")</f>
        <v>00:00.0</v>
      </c>
      <c r="Y353">
        <f t="shared" ref="Y353:Y383" si="108">L354</f>
        <v>0</v>
      </c>
    </row>
    <row r="354" spans="1:25" x14ac:dyDescent="0.25">
      <c r="A354" s="64"/>
      <c r="B354" s="43"/>
      <c r="C354" s="67"/>
      <c r="D354" s="70"/>
      <c r="E354" s="70"/>
      <c r="F354" s="43"/>
      <c r="G354" s="43"/>
      <c r="H354" s="43"/>
      <c r="I354" s="46"/>
      <c r="J354" s="9">
        <v>10</v>
      </c>
      <c r="K354" s="49"/>
      <c r="L354" s="52"/>
      <c r="N354">
        <f t="shared" si="97"/>
        <v>0</v>
      </c>
      <c r="O354">
        <f t="shared" si="98"/>
        <v>0</v>
      </c>
      <c r="P354">
        <f t="shared" si="99"/>
        <v>0</v>
      </c>
      <c r="Q354">
        <f t="shared" si="100"/>
        <v>0</v>
      </c>
      <c r="R354">
        <f t="shared" si="101"/>
        <v>0</v>
      </c>
      <c r="S354">
        <f t="shared" si="102"/>
        <v>0</v>
      </c>
      <c r="T354">
        <f t="shared" si="103"/>
        <v>0</v>
      </c>
      <c r="U354">
        <f t="shared" si="104"/>
        <v>0</v>
      </c>
      <c r="V354">
        <f t="shared" si="105"/>
        <v>0</v>
      </c>
      <c r="W354" t="str">
        <f t="shared" si="106"/>
        <v>11,12,12,,</v>
      </c>
      <c r="X354" t="str">
        <f t="shared" si="107"/>
        <v>00:00.0</v>
      </c>
      <c r="Y354">
        <f t="shared" si="108"/>
        <v>0</v>
      </c>
    </row>
    <row r="355" spans="1:25" x14ac:dyDescent="0.25">
      <c r="A355" s="64"/>
      <c r="B355" s="43"/>
      <c r="C355" s="67"/>
      <c r="D355" s="70"/>
      <c r="E355" s="70"/>
      <c r="F355" s="43"/>
      <c r="G355" s="43"/>
      <c r="H355" s="43"/>
      <c r="I355" s="46"/>
      <c r="J355" s="9">
        <v>11</v>
      </c>
      <c r="K355" s="49"/>
      <c r="L355" s="52"/>
      <c r="N355">
        <f t="shared" si="97"/>
        <v>0</v>
      </c>
      <c r="O355">
        <f t="shared" si="98"/>
        <v>0</v>
      </c>
      <c r="P355">
        <f t="shared" si="99"/>
        <v>0</v>
      </c>
      <c r="Q355">
        <f t="shared" si="100"/>
        <v>0</v>
      </c>
      <c r="R355">
        <f t="shared" si="101"/>
        <v>0</v>
      </c>
      <c r="S355">
        <f t="shared" si="102"/>
        <v>0</v>
      </c>
      <c r="T355">
        <f t="shared" si="103"/>
        <v>0</v>
      </c>
      <c r="U355">
        <f t="shared" si="104"/>
        <v>0</v>
      </c>
      <c r="V355">
        <f t="shared" si="105"/>
        <v>0</v>
      </c>
      <c r="W355" t="str">
        <f t="shared" si="106"/>
        <v>12,12,,,</v>
      </c>
      <c r="X355" t="str">
        <f t="shared" si="107"/>
        <v>00:00.0</v>
      </c>
      <c r="Y355">
        <f t="shared" si="108"/>
        <v>0</v>
      </c>
    </row>
    <row r="356" spans="1:25" x14ac:dyDescent="0.25">
      <c r="A356" s="64"/>
      <c r="B356" s="43"/>
      <c r="C356" s="67"/>
      <c r="D356" s="70"/>
      <c r="E356" s="70"/>
      <c r="F356" s="43"/>
      <c r="G356" s="43"/>
      <c r="H356" s="43"/>
      <c r="I356" s="46"/>
      <c r="J356" s="9">
        <v>12</v>
      </c>
      <c r="K356" s="49"/>
      <c r="L356" s="52"/>
      <c r="N356">
        <f t="shared" si="97"/>
        <v>0</v>
      </c>
      <c r="O356">
        <f t="shared" si="98"/>
        <v>0</v>
      </c>
      <c r="P356">
        <f t="shared" si="99"/>
        <v>0</v>
      </c>
      <c r="Q356">
        <f t="shared" si="100"/>
        <v>0</v>
      </c>
      <c r="R356">
        <f t="shared" si="101"/>
        <v>0</v>
      </c>
      <c r="S356">
        <f t="shared" si="102"/>
        <v>0</v>
      </c>
      <c r="T356">
        <f t="shared" si="103"/>
        <v>0</v>
      </c>
      <c r="U356">
        <f t="shared" si="104"/>
        <v>0</v>
      </c>
      <c r="V356">
        <f t="shared" si="105"/>
        <v>0</v>
      </c>
      <c r="W356" t="str">
        <f t="shared" si="106"/>
        <v>12,,,,</v>
      </c>
      <c r="X356" t="str">
        <f t="shared" si="107"/>
        <v>00:00.0</v>
      </c>
      <c r="Y356">
        <f t="shared" si="108"/>
        <v>0</v>
      </c>
    </row>
    <row r="357" spans="1:25" ht="17.25" thickBot="1" x14ac:dyDescent="0.3">
      <c r="A357" s="65"/>
      <c r="B357" s="44"/>
      <c r="C357" s="68"/>
      <c r="D357" s="71"/>
      <c r="E357" s="71"/>
      <c r="F357" s="44"/>
      <c r="G357" s="44"/>
      <c r="H357" s="44"/>
      <c r="I357" s="47"/>
      <c r="J357" s="11">
        <v>12</v>
      </c>
      <c r="K357" s="50"/>
      <c r="L357" s="53"/>
      <c r="N357">
        <f t="shared" si="97"/>
        <v>0</v>
      </c>
      <c r="O357">
        <f t="shared" si="98"/>
        <v>0</v>
      </c>
      <c r="P357">
        <f t="shared" si="99"/>
        <v>0</v>
      </c>
      <c r="Q357">
        <f t="shared" si="100"/>
        <v>0</v>
      </c>
      <c r="R357">
        <f t="shared" si="101"/>
        <v>0</v>
      </c>
      <c r="S357">
        <f t="shared" si="102"/>
        <v>0</v>
      </c>
      <c r="T357">
        <f t="shared" si="103"/>
        <v>0</v>
      </c>
      <c r="U357">
        <f t="shared" si="104"/>
        <v>0</v>
      </c>
      <c r="V357">
        <f t="shared" si="105"/>
        <v>0</v>
      </c>
      <c r="W357" t="str">
        <f t="shared" si="106"/>
        <v>,,,,</v>
      </c>
      <c r="X357" t="str">
        <f t="shared" si="107"/>
        <v>00:00.0</v>
      </c>
      <c r="Y357">
        <f t="shared" si="108"/>
        <v>0</v>
      </c>
    </row>
    <row r="358" spans="1:25" ht="17.25" thickTop="1" x14ac:dyDescent="0.25">
      <c r="N358">
        <f t="shared" si="97"/>
        <v>0</v>
      </c>
      <c r="O358">
        <f t="shared" si="98"/>
        <v>0</v>
      </c>
      <c r="P358">
        <f t="shared" si="99"/>
        <v>0</v>
      </c>
      <c r="Q358">
        <f t="shared" si="100"/>
        <v>0</v>
      </c>
      <c r="R358">
        <f t="shared" si="101"/>
        <v>0</v>
      </c>
      <c r="S358">
        <f t="shared" si="102"/>
        <v>0</v>
      </c>
      <c r="T358">
        <f t="shared" si="103"/>
        <v>0</v>
      </c>
      <c r="U358">
        <f t="shared" si="104"/>
        <v>0</v>
      </c>
      <c r="V358">
        <f t="shared" si="105"/>
        <v>0</v>
      </c>
      <c r="W358" t="str">
        <f t="shared" si="106"/>
        <v>,,,,</v>
      </c>
      <c r="X358" t="str">
        <f t="shared" si="107"/>
        <v>00:00.0</v>
      </c>
      <c r="Y358">
        <f t="shared" si="108"/>
        <v>0</v>
      </c>
    </row>
    <row r="359" spans="1:25" x14ac:dyDescent="0.25">
      <c r="N359">
        <f t="shared" si="97"/>
        <v>0</v>
      </c>
      <c r="O359">
        <f t="shared" si="98"/>
        <v>0</v>
      </c>
      <c r="P359">
        <f t="shared" si="99"/>
        <v>0</v>
      </c>
      <c r="Q359">
        <f t="shared" si="100"/>
        <v>0</v>
      </c>
      <c r="R359">
        <f t="shared" si="101"/>
        <v>0</v>
      </c>
      <c r="S359">
        <f t="shared" si="102"/>
        <v>0</v>
      </c>
      <c r="T359">
        <f t="shared" si="103"/>
        <v>0</v>
      </c>
      <c r="U359">
        <f t="shared" si="104"/>
        <v>0</v>
      </c>
      <c r="V359">
        <f t="shared" si="105"/>
        <v>0</v>
      </c>
      <c r="W359" t="str">
        <f t="shared" si="106"/>
        <v>,,,,沿途</v>
      </c>
      <c r="X359" t="str">
        <f t="shared" si="107"/>
        <v>00:00.0</v>
      </c>
      <c r="Y359">
        <f t="shared" si="108"/>
        <v>0</v>
      </c>
    </row>
    <row r="360" spans="1:25" x14ac:dyDescent="0.25">
      <c r="N360">
        <f t="shared" si="97"/>
        <v>0</v>
      </c>
      <c r="O360">
        <f t="shared" si="98"/>
        <v>0</v>
      </c>
      <c r="P360">
        <f t="shared" si="99"/>
        <v>0</v>
      </c>
      <c r="Q360">
        <f t="shared" si="100"/>
        <v>0</v>
      </c>
      <c r="R360">
        <f t="shared" si="101"/>
        <v>0</v>
      </c>
      <c r="S360">
        <f t="shared" si="102"/>
        <v>0</v>
      </c>
      <c r="T360">
        <f t="shared" si="103"/>
        <v>0</v>
      </c>
      <c r="U360">
        <f t="shared" si="104"/>
        <v>0</v>
      </c>
      <c r="V360">
        <f t="shared" si="105"/>
        <v>0</v>
      </c>
      <c r="W360" t="str">
        <f t="shared" si="106"/>
        <v>,,,沿途,走位</v>
      </c>
      <c r="X360" t="str">
        <f t="shared" si="107"/>
        <v>00:00.0</v>
      </c>
      <c r="Y360">
        <f t="shared" si="108"/>
        <v>0</v>
      </c>
    </row>
    <row r="361" spans="1:25" x14ac:dyDescent="0.25">
      <c r="N361">
        <f t="shared" si="97"/>
        <v>0</v>
      </c>
      <c r="O361">
        <f t="shared" si="98"/>
        <v>0</v>
      </c>
      <c r="P361">
        <f t="shared" si="99"/>
        <v>0</v>
      </c>
      <c r="Q361">
        <f t="shared" si="100"/>
        <v>0</v>
      </c>
      <c r="R361">
        <f t="shared" si="101"/>
        <v>0</v>
      </c>
      <c r="S361">
        <f t="shared" si="102"/>
        <v>0</v>
      </c>
      <c r="T361">
        <f t="shared" si="103"/>
        <v>0</v>
      </c>
      <c r="U361">
        <f t="shared" si="104"/>
        <v>0</v>
      </c>
      <c r="V361">
        <f t="shared" si="105"/>
        <v>0</v>
      </c>
      <c r="W361" t="str">
        <f t="shared" si="106"/>
        <v>,,沿途,走位,1,1,1,1</v>
      </c>
      <c r="X361" t="str">
        <f t="shared" si="107"/>
        <v>00:00.0</v>
      </c>
      <c r="Y361">
        <f t="shared" si="108"/>
        <v>0</v>
      </c>
    </row>
    <row r="362" spans="1:25" x14ac:dyDescent="0.25">
      <c r="N362">
        <f t="shared" si="97"/>
        <v>0</v>
      </c>
      <c r="O362">
        <f t="shared" si="98"/>
        <v>0</v>
      </c>
      <c r="P362">
        <f t="shared" si="99"/>
        <v>0</v>
      </c>
      <c r="Q362">
        <f t="shared" si="100"/>
        <v>0</v>
      </c>
      <c r="R362">
        <f t="shared" si="101"/>
        <v>0</v>
      </c>
      <c r="S362">
        <f t="shared" si="102"/>
        <v>0</v>
      </c>
      <c r="T362">
        <f t="shared" si="103"/>
        <v>0</v>
      </c>
      <c r="U362">
        <f t="shared" si="104"/>
        <v>0</v>
      </c>
      <c r="V362">
        <f t="shared" si="105"/>
        <v>0</v>
      </c>
      <c r="W362" t="str">
        <f t="shared" si="106"/>
        <v>,沿途,走位,1,1,1,1,6,6,6,2</v>
      </c>
      <c r="X362" t="str">
        <f t="shared" si="107"/>
        <v>00:00.0</v>
      </c>
      <c r="Y362">
        <f t="shared" si="108"/>
        <v>0</v>
      </c>
    </row>
    <row r="363" spans="1:25" ht="17.25" thickBot="1" x14ac:dyDescent="0.3">
      <c r="N363" t="str">
        <f t="shared" si="97"/>
        <v>名次</v>
      </c>
      <c r="O363" t="str">
        <f t="shared" si="98"/>
        <v>馬號</v>
      </c>
      <c r="P363" t="str">
        <f t="shared" si="99"/>
        <v>馬名</v>
      </c>
      <c r="Q363" t="str">
        <f t="shared" si="100"/>
        <v>騎師</v>
      </c>
      <c r="R363" t="str">
        <f t="shared" si="101"/>
        <v>練馬師</v>
      </c>
      <c r="S363" t="str">
        <f t="shared" si="102"/>
        <v>實際</v>
      </c>
      <c r="T363" t="str">
        <f t="shared" si="103"/>
        <v>排位</v>
      </c>
      <c r="U363" t="str">
        <f t="shared" si="104"/>
        <v>檔位</v>
      </c>
      <c r="V363" t="str">
        <f t="shared" si="105"/>
        <v>頭馬</v>
      </c>
      <c r="W363" t="str">
        <f t="shared" si="106"/>
        <v>沿途,走位,1,1,1,1,6,6,6,2,</v>
      </c>
      <c r="X363" t="str">
        <f t="shared" si="107"/>
        <v>完成</v>
      </c>
      <c r="Y363" t="str">
        <f t="shared" si="108"/>
        <v>獨贏</v>
      </c>
    </row>
    <row r="364" spans="1:25" ht="17.25" thickTop="1" x14ac:dyDescent="0.25">
      <c r="A364" s="38" t="s">
        <v>0</v>
      </c>
      <c r="B364" s="40" t="s">
        <v>1</v>
      </c>
      <c r="C364" s="40" t="s">
        <v>2</v>
      </c>
      <c r="D364" s="40" t="s">
        <v>3</v>
      </c>
      <c r="E364" s="40" t="s">
        <v>4</v>
      </c>
      <c r="F364" s="1" t="s">
        <v>5</v>
      </c>
      <c r="G364" s="1" t="s">
        <v>6</v>
      </c>
      <c r="H364" s="40" t="s">
        <v>7</v>
      </c>
      <c r="I364" s="1" t="s">
        <v>8</v>
      </c>
      <c r="J364" s="1" t="s">
        <v>9</v>
      </c>
      <c r="K364" s="1" t="s">
        <v>10</v>
      </c>
      <c r="L364" s="2" t="s">
        <v>11</v>
      </c>
      <c r="N364">
        <f t="shared" si="97"/>
        <v>0</v>
      </c>
      <c r="O364">
        <f t="shared" si="98"/>
        <v>0</v>
      </c>
      <c r="P364">
        <f t="shared" si="99"/>
        <v>0</v>
      </c>
      <c r="Q364">
        <f t="shared" si="100"/>
        <v>0</v>
      </c>
      <c r="R364">
        <f t="shared" si="101"/>
        <v>0</v>
      </c>
      <c r="S364" t="str">
        <f t="shared" si="102"/>
        <v>負磅</v>
      </c>
      <c r="T364" t="str">
        <f t="shared" si="103"/>
        <v>體重</v>
      </c>
      <c r="U364">
        <f t="shared" si="104"/>
        <v>0</v>
      </c>
      <c r="V364" t="str">
        <f t="shared" si="105"/>
        <v>距離</v>
      </c>
      <c r="W364" t="str">
        <f t="shared" si="106"/>
        <v>走位,1,1,1,1,6,6,6,2,,</v>
      </c>
      <c r="X364" t="str">
        <f t="shared" si="107"/>
        <v>時間</v>
      </c>
      <c r="Y364" t="str">
        <f t="shared" si="108"/>
        <v>賠率</v>
      </c>
    </row>
    <row r="365" spans="1:25" ht="17.25" thickBot="1" x14ac:dyDescent="0.3">
      <c r="A365" s="39"/>
      <c r="B365" s="41"/>
      <c r="C365" s="41"/>
      <c r="D365" s="41"/>
      <c r="E365" s="41"/>
      <c r="F365" s="3" t="s">
        <v>12</v>
      </c>
      <c r="G365" s="3" t="s">
        <v>13</v>
      </c>
      <c r="H365" s="41"/>
      <c r="I365" s="3" t="s">
        <v>14</v>
      </c>
      <c r="J365" s="3" t="s">
        <v>15</v>
      </c>
      <c r="K365" s="3" t="s">
        <v>16</v>
      </c>
      <c r="L365" s="4" t="s">
        <v>17</v>
      </c>
      <c r="N365">
        <f t="shared" si="97"/>
        <v>1</v>
      </c>
      <c r="O365">
        <f t="shared" si="98"/>
        <v>4</v>
      </c>
      <c r="P365" t="str">
        <f t="shared" si="99"/>
        <v>紅磚戰士 (K580)</v>
      </c>
      <c r="Q365" t="str">
        <f t="shared" si="100"/>
        <v>周俊樂</v>
      </c>
      <c r="R365" t="str">
        <f t="shared" si="101"/>
        <v>游達榮</v>
      </c>
      <c r="S365">
        <f t="shared" si="102"/>
        <v>129</v>
      </c>
      <c r="T365">
        <f t="shared" si="103"/>
        <v>1110</v>
      </c>
      <c r="U365">
        <f t="shared" si="104"/>
        <v>1</v>
      </c>
      <c r="V365" t="str">
        <f t="shared" si="105"/>
        <v>---</v>
      </c>
      <c r="W365" t="str">
        <f t="shared" si="106"/>
        <v>1,1,1,1,6,6,6,2,,,沿途</v>
      </c>
      <c r="X365" t="str">
        <f t="shared" si="107"/>
        <v>01:39.2</v>
      </c>
      <c r="Y365">
        <f t="shared" si="108"/>
        <v>4.5</v>
      </c>
    </row>
    <row r="366" spans="1:25" ht="17.25" thickBot="1" x14ac:dyDescent="0.3">
      <c r="A366" s="31">
        <v>1</v>
      </c>
      <c r="B366" s="28">
        <v>4</v>
      </c>
      <c r="C366" s="32" t="s">
        <v>18</v>
      </c>
      <c r="D366" s="33" t="s">
        <v>19</v>
      </c>
      <c r="E366" s="33" t="s">
        <v>20</v>
      </c>
      <c r="F366" s="28">
        <v>129</v>
      </c>
      <c r="G366" s="28">
        <v>1110</v>
      </c>
      <c r="H366" s="28">
        <v>1</v>
      </c>
      <c r="I366" s="28" t="s">
        <v>21</v>
      </c>
      <c r="J366" s="5" t="s">
        <v>165</v>
      </c>
      <c r="K366" s="29">
        <v>1.148263888888889E-3</v>
      </c>
      <c r="L366" s="30">
        <v>4.5</v>
      </c>
      <c r="N366">
        <f t="shared" si="97"/>
        <v>2</v>
      </c>
      <c r="O366">
        <f t="shared" si="98"/>
        <v>11</v>
      </c>
      <c r="P366" t="str">
        <f t="shared" si="99"/>
        <v>東方魅影 (K028)</v>
      </c>
      <c r="Q366" t="str">
        <f t="shared" si="100"/>
        <v>潘頓</v>
      </c>
      <c r="R366" t="str">
        <f t="shared" si="101"/>
        <v>大衛希斯</v>
      </c>
      <c r="S366">
        <f t="shared" si="102"/>
        <v>120</v>
      </c>
      <c r="T366">
        <f t="shared" si="103"/>
        <v>1064</v>
      </c>
      <c r="U366">
        <f t="shared" si="104"/>
        <v>3</v>
      </c>
      <c r="V366" t="str">
        <f t="shared" si="105"/>
        <v>頸位</v>
      </c>
      <c r="W366" t="str">
        <f t="shared" si="106"/>
        <v>6,6,6,2,,,沿途,走位</v>
      </c>
      <c r="X366" t="str">
        <f t="shared" si="107"/>
        <v>01:39.3</v>
      </c>
      <c r="Y366">
        <f t="shared" si="108"/>
        <v>3.8</v>
      </c>
    </row>
    <row r="367" spans="1:25" ht="17.25" thickBot="1" x14ac:dyDescent="0.3">
      <c r="A367" s="22">
        <v>2</v>
      </c>
      <c r="B367" s="23">
        <v>11</v>
      </c>
      <c r="C367" s="34" t="s">
        <v>22</v>
      </c>
      <c r="D367" s="35" t="s">
        <v>23</v>
      </c>
      <c r="E367" s="35" t="s">
        <v>24</v>
      </c>
      <c r="F367" s="23">
        <v>120</v>
      </c>
      <c r="G367" s="23">
        <v>1064</v>
      </c>
      <c r="H367" s="23">
        <v>3</v>
      </c>
      <c r="I367" s="23" t="s">
        <v>25</v>
      </c>
      <c r="J367" s="36" t="s">
        <v>166</v>
      </c>
      <c r="K367" s="37">
        <v>1.1489583333333334E-3</v>
      </c>
      <c r="L367" s="26">
        <v>3.8</v>
      </c>
      <c r="N367">
        <f t="shared" si="97"/>
        <v>0</v>
      </c>
      <c r="O367">
        <f t="shared" si="98"/>
        <v>0</v>
      </c>
      <c r="P367">
        <f t="shared" si="99"/>
        <v>0</v>
      </c>
      <c r="Q367">
        <f t="shared" si="100"/>
        <v>0</v>
      </c>
      <c r="R367">
        <f t="shared" si="101"/>
        <v>0</v>
      </c>
      <c r="S367">
        <f t="shared" si="102"/>
        <v>0</v>
      </c>
      <c r="T367">
        <f t="shared" si="103"/>
        <v>0</v>
      </c>
      <c r="U367">
        <f t="shared" si="104"/>
        <v>0</v>
      </c>
      <c r="V367">
        <f t="shared" si="105"/>
        <v>0</v>
      </c>
      <c r="W367" t="str">
        <f t="shared" si="106"/>
        <v>,,沿途,走位,10</v>
      </c>
      <c r="X367" t="str">
        <f t="shared" si="107"/>
        <v>00:00.0</v>
      </c>
      <c r="Y367">
        <f t="shared" si="108"/>
        <v>0</v>
      </c>
    </row>
    <row r="368" spans="1:25" ht="17.25" thickTop="1" x14ac:dyDescent="0.25">
      <c r="N368">
        <f t="shared" si="97"/>
        <v>0</v>
      </c>
      <c r="O368">
        <f t="shared" si="98"/>
        <v>0</v>
      </c>
      <c r="P368">
        <f t="shared" si="99"/>
        <v>0</v>
      </c>
      <c r="Q368">
        <f t="shared" si="100"/>
        <v>0</v>
      </c>
      <c r="R368">
        <f t="shared" si="101"/>
        <v>0</v>
      </c>
      <c r="S368">
        <f t="shared" si="102"/>
        <v>0</v>
      </c>
      <c r="T368">
        <f t="shared" si="103"/>
        <v>0</v>
      </c>
      <c r="U368">
        <f t="shared" si="104"/>
        <v>0</v>
      </c>
      <c r="V368">
        <f t="shared" si="105"/>
        <v>0</v>
      </c>
      <c r="W368" t="str">
        <f t="shared" si="106"/>
        <v>,沿途,走位,10,9</v>
      </c>
      <c r="X368" t="str">
        <f t="shared" si="107"/>
        <v>00:00.0</v>
      </c>
      <c r="Y368">
        <f t="shared" si="108"/>
        <v>0</v>
      </c>
    </row>
    <row r="369" spans="1:25" ht="17.25" thickBot="1" x14ac:dyDescent="0.3">
      <c r="N369" t="str">
        <f t="shared" si="97"/>
        <v>次</v>
      </c>
      <c r="O369" t="str">
        <f t="shared" si="98"/>
        <v>馬號</v>
      </c>
      <c r="P369" t="str">
        <f t="shared" si="99"/>
        <v>馬名</v>
      </c>
      <c r="Q369" t="str">
        <f t="shared" si="100"/>
        <v>騎師</v>
      </c>
      <c r="R369" t="str">
        <f t="shared" si="101"/>
        <v>練馬師</v>
      </c>
      <c r="S369" t="str">
        <f t="shared" si="102"/>
        <v>實際</v>
      </c>
      <c r="T369" t="str">
        <f t="shared" si="103"/>
        <v>排位</v>
      </c>
      <c r="U369" t="str">
        <f t="shared" si="104"/>
        <v>檔位</v>
      </c>
      <c r="V369" t="str">
        <f t="shared" si="105"/>
        <v>頭馬</v>
      </c>
      <c r="W369" t="str">
        <f t="shared" si="106"/>
        <v>沿途,走位,10,9,1</v>
      </c>
      <c r="X369" t="str">
        <f t="shared" si="107"/>
        <v>完成</v>
      </c>
      <c r="Y369" t="str">
        <f t="shared" si="108"/>
        <v>獨贏</v>
      </c>
    </row>
    <row r="370" spans="1:25" ht="17.25" thickTop="1" x14ac:dyDescent="0.25">
      <c r="A370" s="38" t="s">
        <v>98</v>
      </c>
      <c r="B370" s="40" t="s">
        <v>1</v>
      </c>
      <c r="C370" s="40" t="s">
        <v>2</v>
      </c>
      <c r="D370" s="40" t="s">
        <v>3</v>
      </c>
      <c r="E370" s="40" t="s">
        <v>4</v>
      </c>
      <c r="F370" s="1" t="s">
        <v>5</v>
      </c>
      <c r="G370" s="1" t="s">
        <v>6</v>
      </c>
      <c r="H370" s="40" t="s">
        <v>7</v>
      </c>
      <c r="I370" s="1" t="s">
        <v>8</v>
      </c>
      <c r="J370" s="1" t="s">
        <v>9</v>
      </c>
      <c r="K370" s="1" t="s">
        <v>10</v>
      </c>
      <c r="L370" s="2" t="s">
        <v>11</v>
      </c>
    </row>
    <row r="371" spans="1:25" ht="17.25" thickBot="1" x14ac:dyDescent="0.3">
      <c r="A371" s="39"/>
      <c r="B371" s="41"/>
      <c r="C371" s="41"/>
      <c r="D371" s="41"/>
      <c r="E371" s="41"/>
      <c r="F371" s="3" t="s">
        <v>12</v>
      </c>
      <c r="G371" s="3" t="s">
        <v>13</v>
      </c>
      <c r="H371" s="41"/>
      <c r="I371" s="3" t="s">
        <v>14</v>
      </c>
      <c r="J371" s="3" t="s">
        <v>15</v>
      </c>
      <c r="K371" s="3" t="s">
        <v>16</v>
      </c>
      <c r="L371" s="4" t="s">
        <v>17</v>
      </c>
      <c r="N371">
        <f t="shared" si="97"/>
        <v>1</v>
      </c>
      <c r="O371">
        <f t="shared" si="98"/>
        <v>1</v>
      </c>
      <c r="P371" t="str">
        <f t="shared" si="99"/>
        <v>福進 (K529)</v>
      </c>
      <c r="Q371" t="str">
        <f t="shared" si="100"/>
        <v>何澤堯</v>
      </c>
      <c r="R371" t="str">
        <f t="shared" si="101"/>
        <v>方嘉柏</v>
      </c>
      <c r="S371">
        <f t="shared" si="102"/>
        <v>135</v>
      </c>
      <c r="T371">
        <f t="shared" si="103"/>
        <v>1208</v>
      </c>
      <c r="U371">
        <f t="shared" si="104"/>
        <v>6</v>
      </c>
      <c r="V371" t="str">
        <f t="shared" si="105"/>
        <v>---</v>
      </c>
      <c r="W371" t="str">
        <f>J372&amp;","&amp;J373&amp;","&amp;J374</f>
        <v>10,9,1</v>
      </c>
      <c r="X371" t="str">
        <f t="shared" si="107"/>
        <v>00:56.9</v>
      </c>
      <c r="Y371">
        <f t="shared" si="108"/>
        <v>3.5</v>
      </c>
    </row>
    <row r="372" spans="1:25" x14ac:dyDescent="0.25">
      <c r="A372" s="72">
        <v>1</v>
      </c>
      <c r="B372" s="54">
        <v>1</v>
      </c>
      <c r="C372" s="75" t="s">
        <v>406</v>
      </c>
      <c r="D372" s="78" t="s">
        <v>36</v>
      </c>
      <c r="E372" s="78" t="s">
        <v>37</v>
      </c>
      <c r="F372" s="54">
        <v>135</v>
      </c>
      <c r="G372" s="54">
        <v>1208</v>
      </c>
      <c r="H372" s="54">
        <v>6</v>
      </c>
      <c r="I372" s="54" t="s">
        <v>21</v>
      </c>
      <c r="J372" s="5">
        <v>10</v>
      </c>
      <c r="K372" s="57">
        <v>6.590277777777778E-4</v>
      </c>
      <c r="L372" s="60">
        <v>3.5</v>
      </c>
    </row>
    <row r="373" spans="1:25" x14ac:dyDescent="0.25">
      <c r="A373" s="73"/>
      <c r="B373" s="55"/>
      <c r="C373" s="76"/>
      <c r="D373" s="79"/>
      <c r="E373" s="79"/>
      <c r="F373" s="55"/>
      <c r="G373" s="55"/>
      <c r="H373" s="55"/>
      <c r="I373" s="55"/>
      <c r="J373" s="6">
        <v>9</v>
      </c>
      <c r="K373" s="58"/>
      <c r="L373" s="61"/>
    </row>
    <row r="374" spans="1:25" ht="17.25" thickBot="1" x14ac:dyDescent="0.3">
      <c r="A374" s="74"/>
      <c r="B374" s="56"/>
      <c r="C374" s="77"/>
      <c r="D374" s="80"/>
      <c r="E374" s="80"/>
      <c r="F374" s="56"/>
      <c r="G374" s="56"/>
      <c r="H374" s="56"/>
      <c r="I374" s="56"/>
      <c r="J374" s="7">
        <v>1</v>
      </c>
      <c r="K374" s="59"/>
      <c r="L374" s="62"/>
      <c r="N374">
        <f t="shared" si="97"/>
        <v>2</v>
      </c>
      <c r="O374">
        <f t="shared" si="98"/>
        <v>5</v>
      </c>
      <c r="P374" t="str">
        <f t="shared" si="99"/>
        <v>佐治傳奇 (L007)</v>
      </c>
      <c r="Q374" t="str">
        <f t="shared" si="100"/>
        <v>艾兆禮</v>
      </c>
      <c r="R374" t="str">
        <f t="shared" si="101"/>
        <v>告東尼</v>
      </c>
      <c r="S374">
        <f t="shared" si="102"/>
        <v>128</v>
      </c>
      <c r="T374">
        <f t="shared" si="103"/>
        <v>1092</v>
      </c>
      <c r="U374">
        <f t="shared" si="104"/>
        <v>12</v>
      </c>
      <c r="V374">
        <f t="shared" si="105"/>
        <v>1</v>
      </c>
      <c r="W374" t="str">
        <f t="shared" ref="W372:W407" si="109">J375&amp;","&amp;J376&amp;","&amp;J377</f>
        <v>4,4,2</v>
      </c>
      <c r="X374" t="str">
        <f t="shared" si="107"/>
        <v>00:57.1</v>
      </c>
      <c r="Y374">
        <f t="shared" si="108"/>
        <v>4</v>
      </c>
    </row>
    <row r="375" spans="1:25" x14ac:dyDescent="0.25">
      <c r="A375" s="63">
        <v>2</v>
      </c>
      <c r="B375" s="42">
        <v>5</v>
      </c>
      <c r="C375" s="66" t="s">
        <v>407</v>
      </c>
      <c r="D375" s="69" t="s">
        <v>39</v>
      </c>
      <c r="E375" s="69" t="s">
        <v>66</v>
      </c>
      <c r="F375" s="42">
        <v>128</v>
      </c>
      <c r="G375" s="42">
        <v>1092</v>
      </c>
      <c r="H375" s="42">
        <v>12</v>
      </c>
      <c r="I375" s="42">
        <v>1</v>
      </c>
      <c r="J375" s="8">
        <v>4</v>
      </c>
      <c r="K375" s="48">
        <v>6.6087962962962964E-4</v>
      </c>
      <c r="L375" s="51">
        <v>4</v>
      </c>
    </row>
    <row r="376" spans="1:25" x14ac:dyDescent="0.25">
      <c r="A376" s="64"/>
      <c r="B376" s="43"/>
      <c r="C376" s="67"/>
      <c r="D376" s="70"/>
      <c r="E376" s="70"/>
      <c r="F376" s="43"/>
      <c r="G376" s="43"/>
      <c r="H376" s="43"/>
      <c r="I376" s="43"/>
      <c r="J376" s="9">
        <v>4</v>
      </c>
      <c r="K376" s="49"/>
      <c r="L376" s="52"/>
    </row>
    <row r="377" spans="1:25" ht="17.25" thickBot="1" x14ac:dyDescent="0.3">
      <c r="A377" s="88"/>
      <c r="B377" s="81"/>
      <c r="C377" s="89"/>
      <c r="D377" s="90"/>
      <c r="E377" s="90"/>
      <c r="F377" s="81"/>
      <c r="G377" s="81"/>
      <c r="H377" s="81"/>
      <c r="I377" s="81"/>
      <c r="J377" s="10">
        <v>2</v>
      </c>
      <c r="K377" s="83"/>
      <c r="L377" s="84"/>
      <c r="N377">
        <f t="shared" si="97"/>
        <v>3</v>
      </c>
      <c r="O377">
        <f t="shared" si="98"/>
        <v>4</v>
      </c>
      <c r="P377" t="str">
        <f t="shared" si="99"/>
        <v>巴閉王 (K479)</v>
      </c>
      <c r="Q377" t="str">
        <f t="shared" si="100"/>
        <v>周俊樂</v>
      </c>
      <c r="R377" t="str">
        <f t="shared" si="101"/>
        <v>呂健威</v>
      </c>
      <c r="S377">
        <f t="shared" si="102"/>
        <v>129</v>
      </c>
      <c r="T377">
        <f t="shared" si="103"/>
        <v>1041</v>
      </c>
      <c r="U377">
        <f t="shared" si="104"/>
        <v>3</v>
      </c>
      <c r="V377">
        <f t="shared" si="105"/>
        <v>37987</v>
      </c>
      <c r="W377" t="str">
        <f t="shared" si="109"/>
        <v>11,7,3</v>
      </c>
      <c r="X377" t="str">
        <f t="shared" si="107"/>
        <v>00:57.2</v>
      </c>
      <c r="Y377">
        <f t="shared" si="108"/>
        <v>2.6</v>
      </c>
    </row>
    <row r="378" spans="1:25" x14ac:dyDescent="0.25">
      <c r="A378" s="72">
        <v>3</v>
      </c>
      <c r="B378" s="54">
        <v>4</v>
      </c>
      <c r="C378" s="75" t="s">
        <v>408</v>
      </c>
      <c r="D378" s="78" t="s">
        <v>19</v>
      </c>
      <c r="E378" s="78" t="s">
        <v>92</v>
      </c>
      <c r="F378" s="54">
        <v>129</v>
      </c>
      <c r="G378" s="54">
        <v>1041</v>
      </c>
      <c r="H378" s="54">
        <v>3</v>
      </c>
      <c r="I378" s="85">
        <v>37987</v>
      </c>
      <c r="J378" s="5">
        <v>11</v>
      </c>
      <c r="K378" s="57">
        <v>6.6145833333333334E-4</v>
      </c>
      <c r="L378" s="60">
        <v>2.6</v>
      </c>
    </row>
    <row r="379" spans="1:25" x14ac:dyDescent="0.25">
      <c r="A379" s="73"/>
      <c r="B379" s="55"/>
      <c r="C379" s="76"/>
      <c r="D379" s="79"/>
      <c r="E379" s="79"/>
      <c r="F379" s="55"/>
      <c r="G379" s="55"/>
      <c r="H379" s="55"/>
      <c r="I379" s="86"/>
      <c r="J379" s="6">
        <v>7</v>
      </c>
      <c r="K379" s="58"/>
      <c r="L379" s="61"/>
    </row>
    <row r="380" spans="1:25" ht="17.25" thickBot="1" x14ac:dyDescent="0.3">
      <c r="A380" s="74"/>
      <c r="B380" s="56"/>
      <c r="C380" s="77"/>
      <c r="D380" s="80"/>
      <c r="E380" s="80"/>
      <c r="F380" s="56"/>
      <c r="G380" s="56"/>
      <c r="H380" s="56"/>
      <c r="I380" s="87"/>
      <c r="J380" s="7">
        <v>3</v>
      </c>
      <c r="K380" s="59"/>
      <c r="L380" s="62"/>
      <c r="N380" t="str">
        <f t="shared" si="97"/>
        <v> 4</v>
      </c>
      <c r="O380">
        <f t="shared" si="98"/>
        <v>12</v>
      </c>
      <c r="P380" t="str">
        <f t="shared" si="99"/>
        <v>馬運高 (L175)</v>
      </c>
      <c r="Q380" t="str">
        <f t="shared" si="100"/>
        <v>田泰安</v>
      </c>
      <c r="R380" t="str">
        <f t="shared" si="101"/>
        <v>文家良</v>
      </c>
      <c r="S380">
        <f t="shared" si="102"/>
        <v>118</v>
      </c>
      <c r="T380">
        <f t="shared" si="103"/>
        <v>1210</v>
      </c>
      <c r="U380">
        <f t="shared" si="104"/>
        <v>1</v>
      </c>
      <c r="V380">
        <f t="shared" si="105"/>
        <v>37257</v>
      </c>
      <c r="W380" t="str">
        <f t="shared" si="109"/>
        <v>1,1,4</v>
      </c>
      <c r="X380" t="str">
        <f t="shared" si="107"/>
        <v>00:57.2</v>
      </c>
      <c r="Y380">
        <f t="shared" si="108"/>
        <v>8.4</v>
      </c>
    </row>
    <row r="381" spans="1:25" x14ac:dyDescent="0.25">
      <c r="A381" s="97" t="s">
        <v>84</v>
      </c>
      <c r="B381" s="42">
        <v>12</v>
      </c>
      <c r="C381" s="66" t="s">
        <v>409</v>
      </c>
      <c r="D381" s="69" t="s">
        <v>27</v>
      </c>
      <c r="E381" s="69" t="s">
        <v>141</v>
      </c>
      <c r="F381" s="42">
        <v>118</v>
      </c>
      <c r="G381" s="42">
        <v>1210</v>
      </c>
      <c r="H381" s="42">
        <v>1</v>
      </c>
      <c r="I381" s="45">
        <v>37257</v>
      </c>
      <c r="J381" s="8">
        <v>1</v>
      </c>
      <c r="K381" s="48">
        <v>6.6168981481481482E-4</v>
      </c>
      <c r="L381" s="51">
        <v>8.4</v>
      </c>
    </row>
    <row r="382" spans="1:25" x14ac:dyDescent="0.25">
      <c r="A382" s="98"/>
      <c r="B382" s="43"/>
      <c r="C382" s="67"/>
      <c r="D382" s="70"/>
      <c r="E382" s="70"/>
      <c r="F382" s="43"/>
      <c r="G382" s="43"/>
      <c r="H382" s="43"/>
      <c r="I382" s="46"/>
      <c r="J382" s="9">
        <v>1</v>
      </c>
      <c r="K382" s="49"/>
      <c r="L382" s="52"/>
    </row>
    <row r="383" spans="1:25" ht="17.25" thickBot="1" x14ac:dyDescent="0.3">
      <c r="A383" s="99"/>
      <c r="B383" s="81"/>
      <c r="C383" s="89"/>
      <c r="D383" s="90"/>
      <c r="E383" s="90"/>
      <c r="F383" s="81"/>
      <c r="G383" s="81"/>
      <c r="H383" s="81"/>
      <c r="I383" s="82"/>
      <c r="J383" s="10">
        <v>4</v>
      </c>
      <c r="K383" s="83"/>
      <c r="L383" s="84"/>
      <c r="N383">
        <f t="shared" si="97"/>
        <v>5</v>
      </c>
      <c r="O383">
        <f t="shared" si="98"/>
        <v>6</v>
      </c>
      <c r="P383" t="str">
        <f t="shared" si="99"/>
        <v>升升雙息 (L291)</v>
      </c>
      <c r="Q383" t="str">
        <f t="shared" si="100"/>
        <v>潘明輝</v>
      </c>
      <c r="R383" t="str">
        <f t="shared" si="101"/>
        <v>沈集成</v>
      </c>
      <c r="S383">
        <f t="shared" si="102"/>
        <v>126</v>
      </c>
      <c r="T383">
        <f t="shared" si="103"/>
        <v>1057</v>
      </c>
      <c r="U383">
        <f t="shared" si="104"/>
        <v>10</v>
      </c>
      <c r="V383">
        <f t="shared" si="105"/>
        <v>37257</v>
      </c>
      <c r="W383" t="str">
        <f t="shared" si="109"/>
        <v>3,2,5</v>
      </c>
      <c r="X383" t="str">
        <f t="shared" si="107"/>
        <v>00:57.2</v>
      </c>
      <c r="Y383">
        <f t="shared" si="108"/>
        <v>44</v>
      </c>
    </row>
    <row r="384" spans="1:25" x14ac:dyDescent="0.25">
      <c r="A384" s="72">
        <v>5</v>
      </c>
      <c r="B384" s="54">
        <v>6</v>
      </c>
      <c r="C384" s="75" t="s">
        <v>410</v>
      </c>
      <c r="D384" s="78" t="s">
        <v>70</v>
      </c>
      <c r="E384" s="78" t="s">
        <v>60</v>
      </c>
      <c r="F384" s="54">
        <v>126</v>
      </c>
      <c r="G384" s="54">
        <v>1057</v>
      </c>
      <c r="H384" s="54">
        <v>10</v>
      </c>
      <c r="I384" s="85">
        <v>37257</v>
      </c>
      <c r="J384" s="5">
        <v>3</v>
      </c>
      <c r="K384" s="57">
        <v>6.6180555555555556E-4</v>
      </c>
      <c r="L384" s="60">
        <v>44</v>
      </c>
    </row>
    <row r="385" spans="1:25" x14ac:dyDescent="0.25">
      <c r="A385" s="73"/>
      <c r="B385" s="55"/>
      <c r="C385" s="76"/>
      <c r="D385" s="79"/>
      <c r="E385" s="79"/>
      <c r="F385" s="55"/>
      <c r="G385" s="55"/>
      <c r="H385" s="55"/>
      <c r="I385" s="86"/>
      <c r="J385" s="6">
        <v>2</v>
      </c>
      <c r="K385" s="58"/>
      <c r="L385" s="61"/>
    </row>
    <row r="386" spans="1:25" ht="17.25" thickBot="1" x14ac:dyDescent="0.3">
      <c r="A386" s="74"/>
      <c r="B386" s="56"/>
      <c r="C386" s="77"/>
      <c r="D386" s="80"/>
      <c r="E386" s="80"/>
      <c r="F386" s="56"/>
      <c r="G386" s="56"/>
      <c r="H386" s="56"/>
      <c r="I386" s="87"/>
      <c r="J386" s="7">
        <v>5</v>
      </c>
      <c r="K386" s="59"/>
      <c r="L386" s="62"/>
      <c r="N386">
        <f t="shared" ref="N384:N407" si="110">A387</f>
        <v>6</v>
      </c>
      <c r="O386">
        <f t="shared" ref="O384:O407" si="111">B387</f>
        <v>3</v>
      </c>
      <c r="P386" t="str">
        <f t="shared" ref="P384:P407" si="112">C387</f>
        <v>藍地球 (K468)</v>
      </c>
      <c r="Q386" t="str">
        <f t="shared" ref="Q384:Q407" si="113">D387</f>
        <v>奧爾民</v>
      </c>
      <c r="R386" t="str">
        <f t="shared" ref="R384:R407" si="114">E387</f>
        <v>伍鵬志</v>
      </c>
      <c r="S386">
        <f t="shared" ref="S384:S407" si="115">F387</f>
        <v>131</v>
      </c>
      <c r="T386">
        <f t="shared" ref="T384:T407" si="116">G387</f>
        <v>1159</v>
      </c>
      <c r="U386">
        <f t="shared" ref="U384:U407" si="117">H387</f>
        <v>8</v>
      </c>
      <c r="V386">
        <f t="shared" ref="V384:V407" si="118">I387</f>
        <v>37258</v>
      </c>
      <c r="W386" t="str">
        <f t="shared" si="109"/>
        <v>9,5,6</v>
      </c>
      <c r="X386" t="str">
        <f t="shared" ref="X384:X407" si="119">TEXT(K387, "mm:ss.0")</f>
        <v>00:57.4</v>
      </c>
      <c r="Y386">
        <f t="shared" ref="Y384:Y407" si="120">L387</f>
        <v>42</v>
      </c>
    </row>
    <row r="387" spans="1:25" x14ac:dyDescent="0.25">
      <c r="A387" s="63">
        <v>6</v>
      </c>
      <c r="B387" s="42">
        <v>3</v>
      </c>
      <c r="C387" s="66" t="s">
        <v>411</v>
      </c>
      <c r="D387" s="69" t="s">
        <v>51</v>
      </c>
      <c r="E387" s="69" t="s">
        <v>113</v>
      </c>
      <c r="F387" s="42">
        <v>131</v>
      </c>
      <c r="G387" s="42">
        <v>1159</v>
      </c>
      <c r="H387" s="42">
        <v>8</v>
      </c>
      <c r="I387" s="45">
        <v>37258</v>
      </c>
      <c r="J387" s="8">
        <v>9</v>
      </c>
      <c r="K387" s="48">
        <v>6.6388888888888888E-4</v>
      </c>
      <c r="L387" s="51">
        <v>42</v>
      </c>
    </row>
    <row r="388" spans="1:25" x14ac:dyDescent="0.25">
      <c r="A388" s="64"/>
      <c r="B388" s="43"/>
      <c r="C388" s="67"/>
      <c r="D388" s="70"/>
      <c r="E388" s="70"/>
      <c r="F388" s="43"/>
      <c r="G388" s="43"/>
      <c r="H388" s="43"/>
      <c r="I388" s="46"/>
      <c r="J388" s="9">
        <v>5</v>
      </c>
      <c r="K388" s="49"/>
      <c r="L388" s="52"/>
    </row>
    <row r="389" spans="1:25" ht="17.25" thickBot="1" x14ac:dyDescent="0.3">
      <c r="A389" s="88"/>
      <c r="B389" s="81"/>
      <c r="C389" s="89"/>
      <c r="D389" s="90"/>
      <c r="E389" s="90"/>
      <c r="F389" s="81"/>
      <c r="G389" s="81"/>
      <c r="H389" s="81"/>
      <c r="I389" s="82"/>
      <c r="J389" s="10">
        <v>6</v>
      </c>
      <c r="K389" s="83"/>
      <c r="L389" s="84"/>
      <c r="N389">
        <f t="shared" si="110"/>
        <v>7</v>
      </c>
      <c r="O389">
        <f t="shared" si="111"/>
        <v>9</v>
      </c>
      <c r="P389" t="str">
        <f t="shared" si="112"/>
        <v>天火同人 (E175)</v>
      </c>
      <c r="Q389" t="str">
        <f t="shared" si="113"/>
        <v>黃寶妮</v>
      </c>
      <c r="R389" t="str">
        <f t="shared" si="114"/>
        <v>韋達</v>
      </c>
      <c r="S389">
        <f t="shared" si="115"/>
        <v>116</v>
      </c>
      <c r="T389">
        <f t="shared" si="116"/>
        <v>1095</v>
      </c>
      <c r="U389">
        <f t="shared" si="117"/>
        <v>7</v>
      </c>
      <c r="V389">
        <f t="shared" si="118"/>
        <v>37259</v>
      </c>
      <c r="W389" t="str">
        <f t="shared" si="109"/>
        <v>2,3,7</v>
      </c>
      <c r="X389" t="str">
        <f t="shared" si="119"/>
        <v>00:57.5</v>
      </c>
      <c r="Y389">
        <f t="shared" si="120"/>
        <v>19</v>
      </c>
    </row>
    <row r="390" spans="1:25" x14ac:dyDescent="0.25">
      <c r="A390" s="72">
        <v>7</v>
      </c>
      <c r="B390" s="54">
        <v>9</v>
      </c>
      <c r="C390" s="75" t="s">
        <v>412</v>
      </c>
      <c r="D390" s="78" t="s">
        <v>413</v>
      </c>
      <c r="E390" s="78" t="s">
        <v>49</v>
      </c>
      <c r="F390" s="54">
        <v>116</v>
      </c>
      <c r="G390" s="54">
        <v>1095</v>
      </c>
      <c r="H390" s="54">
        <v>7</v>
      </c>
      <c r="I390" s="85">
        <v>37259</v>
      </c>
      <c r="J390" s="5">
        <v>2</v>
      </c>
      <c r="K390" s="57">
        <v>6.653935185185185E-4</v>
      </c>
      <c r="L390" s="60">
        <v>19</v>
      </c>
    </row>
    <row r="391" spans="1:25" x14ac:dyDescent="0.25">
      <c r="A391" s="73"/>
      <c r="B391" s="55"/>
      <c r="C391" s="76"/>
      <c r="D391" s="79"/>
      <c r="E391" s="79"/>
      <c r="F391" s="55"/>
      <c r="G391" s="55"/>
      <c r="H391" s="55"/>
      <c r="I391" s="86"/>
      <c r="J391" s="6">
        <v>3</v>
      </c>
      <c r="K391" s="58"/>
      <c r="L391" s="61"/>
    </row>
    <row r="392" spans="1:25" ht="17.25" thickBot="1" x14ac:dyDescent="0.3">
      <c r="A392" s="74"/>
      <c r="B392" s="56"/>
      <c r="C392" s="77"/>
      <c r="D392" s="80"/>
      <c r="E392" s="80"/>
      <c r="F392" s="56"/>
      <c r="G392" s="56"/>
      <c r="H392" s="56"/>
      <c r="I392" s="87"/>
      <c r="J392" s="7">
        <v>7</v>
      </c>
      <c r="K392" s="59"/>
      <c r="L392" s="62"/>
      <c r="N392">
        <f t="shared" si="110"/>
        <v>8</v>
      </c>
      <c r="O392">
        <f t="shared" si="111"/>
        <v>2</v>
      </c>
      <c r="P392" t="str">
        <f t="shared" si="112"/>
        <v>友駿同心 (L214)</v>
      </c>
      <c r="Q392" t="str">
        <f t="shared" si="113"/>
        <v>梁家俊</v>
      </c>
      <c r="R392" t="str">
        <f t="shared" si="114"/>
        <v>蘇偉賢</v>
      </c>
      <c r="S392">
        <f t="shared" si="115"/>
        <v>133</v>
      </c>
      <c r="T392">
        <f t="shared" si="116"/>
        <v>1168</v>
      </c>
      <c r="U392">
        <f t="shared" si="117"/>
        <v>4</v>
      </c>
      <c r="V392">
        <f t="shared" si="118"/>
        <v>37259</v>
      </c>
      <c r="W392" t="str">
        <f t="shared" si="109"/>
        <v>12,10,8</v>
      </c>
      <c r="X392" t="str">
        <f t="shared" si="119"/>
        <v>00:57.5</v>
      </c>
      <c r="Y392">
        <f t="shared" si="120"/>
        <v>96</v>
      </c>
    </row>
    <row r="393" spans="1:25" x14ac:dyDescent="0.25">
      <c r="A393" s="63">
        <v>8</v>
      </c>
      <c r="B393" s="42">
        <v>2</v>
      </c>
      <c r="C393" s="66" t="s">
        <v>414</v>
      </c>
      <c r="D393" s="69" t="s">
        <v>48</v>
      </c>
      <c r="E393" s="69" t="s">
        <v>43</v>
      </c>
      <c r="F393" s="42">
        <v>133</v>
      </c>
      <c r="G393" s="42">
        <v>1168</v>
      </c>
      <c r="H393" s="42">
        <v>4</v>
      </c>
      <c r="I393" s="45">
        <v>37259</v>
      </c>
      <c r="J393" s="8">
        <v>12</v>
      </c>
      <c r="K393" s="48">
        <v>6.6562499999999998E-4</v>
      </c>
      <c r="L393" s="51">
        <v>96</v>
      </c>
    </row>
    <row r="394" spans="1:25" x14ac:dyDescent="0.25">
      <c r="A394" s="64"/>
      <c r="B394" s="43"/>
      <c r="C394" s="67"/>
      <c r="D394" s="70"/>
      <c r="E394" s="70"/>
      <c r="F394" s="43"/>
      <c r="G394" s="43"/>
      <c r="H394" s="43"/>
      <c r="I394" s="46"/>
      <c r="J394" s="9">
        <v>10</v>
      </c>
      <c r="K394" s="49"/>
      <c r="L394" s="52"/>
    </row>
    <row r="395" spans="1:25" ht="17.25" thickBot="1" x14ac:dyDescent="0.3">
      <c r="A395" s="88"/>
      <c r="B395" s="81"/>
      <c r="C395" s="89"/>
      <c r="D395" s="90"/>
      <c r="E395" s="90"/>
      <c r="F395" s="81"/>
      <c r="G395" s="81"/>
      <c r="H395" s="81"/>
      <c r="I395" s="82"/>
      <c r="J395" s="10">
        <v>8</v>
      </c>
      <c r="K395" s="83"/>
      <c r="L395" s="84"/>
      <c r="N395">
        <f t="shared" si="110"/>
        <v>9</v>
      </c>
      <c r="O395">
        <f t="shared" si="111"/>
        <v>11</v>
      </c>
      <c r="P395" t="str">
        <f t="shared" si="112"/>
        <v>萬眾開心 (H208)</v>
      </c>
      <c r="Q395" t="str">
        <f t="shared" si="113"/>
        <v>蔡明紹</v>
      </c>
      <c r="R395" t="str">
        <f t="shared" si="114"/>
        <v>黎昭昇</v>
      </c>
      <c r="S395">
        <f t="shared" si="115"/>
        <v>120</v>
      </c>
      <c r="T395">
        <f t="shared" si="116"/>
        <v>1180</v>
      </c>
      <c r="U395">
        <f t="shared" si="117"/>
        <v>9</v>
      </c>
      <c r="V395">
        <f t="shared" si="118"/>
        <v>38050</v>
      </c>
      <c r="W395" t="str">
        <f t="shared" si="109"/>
        <v>7,8,9</v>
      </c>
      <c r="X395" t="str">
        <f t="shared" si="119"/>
        <v>00:57.7</v>
      </c>
      <c r="Y395">
        <f t="shared" si="120"/>
        <v>27</v>
      </c>
    </row>
    <row r="396" spans="1:25" x14ac:dyDescent="0.25">
      <c r="A396" s="72">
        <v>9</v>
      </c>
      <c r="B396" s="54">
        <v>11</v>
      </c>
      <c r="C396" s="75" t="s">
        <v>415</v>
      </c>
      <c r="D396" s="78" t="s">
        <v>76</v>
      </c>
      <c r="E396" s="78" t="s">
        <v>52</v>
      </c>
      <c r="F396" s="54">
        <v>120</v>
      </c>
      <c r="G396" s="54">
        <v>1180</v>
      </c>
      <c r="H396" s="54">
        <v>9</v>
      </c>
      <c r="I396" s="85">
        <v>38050</v>
      </c>
      <c r="J396" s="5">
        <v>7</v>
      </c>
      <c r="K396" s="57">
        <v>6.6805555555555552E-4</v>
      </c>
      <c r="L396" s="60">
        <v>27</v>
      </c>
    </row>
    <row r="397" spans="1:25" x14ac:dyDescent="0.25">
      <c r="A397" s="73"/>
      <c r="B397" s="55"/>
      <c r="C397" s="76"/>
      <c r="D397" s="79"/>
      <c r="E397" s="79"/>
      <c r="F397" s="55"/>
      <c r="G397" s="55"/>
      <c r="H397" s="55"/>
      <c r="I397" s="86"/>
      <c r="J397" s="6">
        <v>8</v>
      </c>
      <c r="K397" s="58"/>
      <c r="L397" s="61"/>
    </row>
    <row r="398" spans="1:25" ht="17.25" thickBot="1" x14ac:dyDescent="0.3">
      <c r="A398" s="74"/>
      <c r="B398" s="56"/>
      <c r="C398" s="77"/>
      <c r="D398" s="80"/>
      <c r="E398" s="80"/>
      <c r="F398" s="56"/>
      <c r="G398" s="56"/>
      <c r="H398" s="56"/>
      <c r="I398" s="87"/>
      <c r="J398" s="7">
        <v>9</v>
      </c>
      <c r="K398" s="59"/>
      <c r="L398" s="62"/>
      <c r="N398">
        <f t="shared" si="110"/>
        <v>10</v>
      </c>
      <c r="O398">
        <f t="shared" si="111"/>
        <v>8</v>
      </c>
      <c r="P398" t="str">
        <f t="shared" si="112"/>
        <v>螢影飛馳 (K228)</v>
      </c>
      <c r="Q398" t="str">
        <f t="shared" si="113"/>
        <v>袁幸堯</v>
      </c>
      <c r="R398" t="str">
        <f t="shared" si="114"/>
        <v>徐雨石</v>
      </c>
      <c r="S398">
        <f t="shared" si="115"/>
        <v>114</v>
      </c>
      <c r="T398">
        <f t="shared" si="116"/>
        <v>1165</v>
      </c>
      <c r="U398">
        <f t="shared" si="117"/>
        <v>11</v>
      </c>
      <c r="V398">
        <f t="shared" si="118"/>
        <v>37262</v>
      </c>
      <c r="W398" t="str">
        <f t="shared" si="109"/>
        <v>6,11,10</v>
      </c>
      <c r="X398" t="str">
        <f t="shared" si="119"/>
        <v>00:58.0</v>
      </c>
      <c r="Y398">
        <f t="shared" si="120"/>
        <v>49</v>
      </c>
    </row>
    <row r="399" spans="1:25" x14ac:dyDescent="0.25">
      <c r="A399" s="63">
        <v>10</v>
      </c>
      <c r="B399" s="42">
        <v>8</v>
      </c>
      <c r="C399" s="66" t="s">
        <v>416</v>
      </c>
      <c r="D399" s="69" t="s">
        <v>45</v>
      </c>
      <c r="E399" s="69" t="s">
        <v>46</v>
      </c>
      <c r="F399" s="42">
        <v>114</v>
      </c>
      <c r="G399" s="42">
        <v>1165</v>
      </c>
      <c r="H399" s="42">
        <v>11</v>
      </c>
      <c r="I399" s="45">
        <v>37262</v>
      </c>
      <c r="J399" s="8">
        <v>6</v>
      </c>
      <c r="K399" s="48">
        <v>6.7129629629629625E-4</v>
      </c>
      <c r="L399" s="51">
        <v>49</v>
      </c>
    </row>
    <row r="400" spans="1:25" x14ac:dyDescent="0.25">
      <c r="A400" s="64"/>
      <c r="B400" s="43"/>
      <c r="C400" s="67"/>
      <c r="D400" s="70"/>
      <c r="E400" s="70"/>
      <c r="F400" s="43"/>
      <c r="G400" s="43"/>
      <c r="H400" s="43"/>
      <c r="I400" s="46"/>
      <c r="J400" s="9">
        <v>11</v>
      </c>
      <c r="K400" s="49"/>
      <c r="L400" s="52"/>
    </row>
    <row r="401" spans="1:25" ht="17.25" thickBot="1" x14ac:dyDescent="0.3">
      <c r="A401" s="88"/>
      <c r="B401" s="81"/>
      <c r="C401" s="89"/>
      <c r="D401" s="90"/>
      <c r="E401" s="90"/>
      <c r="F401" s="81"/>
      <c r="G401" s="81"/>
      <c r="H401" s="81"/>
      <c r="I401" s="82"/>
      <c r="J401" s="10">
        <v>10</v>
      </c>
      <c r="K401" s="83"/>
      <c r="L401" s="84"/>
      <c r="N401">
        <f t="shared" si="110"/>
        <v>11</v>
      </c>
      <c r="O401">
        <f t="shared" si="111"/>
        <v>10</v>
      </c>
      <c r="P401" t="str">
        <f t="shared" si="112"/>
        <v>領航多財 (L101)</v>
      </c>
      <c r="Q401" t="str">
        <f t="shared" si="113"/>
        <v>巫顯東</v>
      </c>
      <c r="R401" t="str">
        <f t="shared" si="114"/>
        <v>鄭俊偉</v>
      </c>
      <c r="S401">
        <f t="shared" si="115"/>
        <v>120</v>
      </c>
      <c r="T401">
        <f t="shared" si="116"/>
        <v>1147</v>
      </c>
      <c r="U401">
        <f t="shared" si="117"/>
        <v>5</v>
      </c>
      <c r="V401">
        <f t="shared" si="118"/>
        <v>37265</v>
      </c>
      <c r="W401" t="str">
        <f t="shared" si="109"/>
        <v>8,12,11</v>
      </c>
      <c r="X401" t="str">
        <f t="shared" si="119"/>
        <v>00:58.5</v>
      </c>
      <c r="Y401">
        <f t="shared" si="120"/>
        <v>122</v>
      </c>
    </row>
    <row r="402" spans="1:25" x14ac:dyDescent="0.25">
      <c r="A402" s="72">
        <v>11</v>
      </c>
      <c r="B402" s="54">
        <v>10</v>
      </c>
      <c r="C402" s="75" t="s">
        <v>417</v>
      </c>
      <c r="D402" s="78" t="s">
        <v>418</v>
      </c>
      <c r="E402" s="78" t="s">
        <v>107</v>
      </c>
      <c r="F402" s="54">
        <v>120</v>
      </c>
      <c r="G402" s="54">
        <v>1147</v>
      </c>
      <c r="H402" s="54">
        <v>5</v>
      </c>
      <c r="I402" s="85">
        <v>37265</v>
      </c>
      <c r="J402" s="5">
        <v>8</v>
      </c>
      <c r="K402" s="57">
        <v>6.7685185185185177E-4</v>
      </c>
      <c r="L402" s="60">
        <v>122</v>
      </c>
    </row>
    <row r="403" spans="1:25" x14ac:dyDescent="0.25">
      <c r="A403" s="73"/>
      <c r="B403" s="55"/>
      <c r="C403" s="76"/>
      <c r="D403" s="79"/>
      <c r="E403" s="79"/>
      <c r="F403" s="55"/>
      <c r="G403" s="55"/>
      <c r="H403" s="55"/>
      <c r="I403" s="86"/>
      <c r="J403" s="6">
        <v>12</v>
      </c>
      <c r="K403" s="58"/>
      <c r="L403" s="61"/>
    </row>
    <row r="404" spans="1:25" ht="17.25" thickBot="1" x14ac:dyDescent="0.3">
      <c r="A404" s="74"/>
      <c r="B404" s="56"/>
      <c r="C404" s="77"/>
      <c r="D404" s="80"/>
      <c r="E404" s="80"/>
      <c r="F404" s="56"/>
      <c r="G404" s="56"/>
      <c r="H404" s="56"/>
      <c r="I404" s="87"/>
      <c r="J404" s="7">
        <v>11</v>
      </c>
      <c r="K404" s="59"/>
      <c r="L404" s="62"/>
      <c r="N404">
        <f t="shared" si="110"/>
        <v>12</v>
      </c>
      <c r="O404">
        <f t="shared" si="111"/>
        <v>7</v>
      </c>
      <c r="P404" t="str">
        <f t="shared" si="112"/>
        <v>雙劍合璧 (L290)</v>
      </c>
      <c r="Q404" t="str">
        <f t="shared" si="113"/>
        <v>班德禮</v>
      </c>
      <c r="R404" t="str">
        <f t="shared" si="114"/>
        <v>大衛希斯</v>
      </c>
      <c r="S404">
        <f t="shared" si="115"/>
        <v>126</v>
      </c>
      <c r="T404">
        <f t="shared" si="116"/>
        <v>1011</v>
      </c>
      <c r="U404">
        <f t="shared" si="117"/>
        <v>2</v>
      </c>
      <c r="V404">
        <f t="shared" si="118"/>
        <v>38055</v>
      </c>
      <c r="W404" t="str">
        <f t="shared" si="109"/>
        <v>5,6,12</v>
      </c>
      <c r="X404" t="str">
        <f t="shared" si="119"/>
        <v>00:58.5</v>
      </c>
      <c r="Y404">
        <f t="shared" si="120"/>
        <v>78</v>
      </c>
    </row>
    <row r="405" spans="1:25" x14ac:dyDescent="0.25">
      <c r="A405" s="63">
        <v>12</v>
      </c>
      <c r="B405" s="42">
        <v>7</v>
      </c>
      <c r="C405" s="66" t="s">
        <v>419</v>
      </c>
      <c r="D405" s="69" t="s">
        <v>68</v>
      </c>
      <c r="E405" s="69" t="s">
        <v>24</v>
      </c>
      <c r="F405" s="42">
        <v>126</v>
      </c>
      <c r="G405" s="42">
        <v>1011</v>
      </c>
      <c r="H405" s="42">
        <v>2</v>
      </c>
      <c r="I405" s="45">
        <v>38055</v>
      </c>
      <c r="J405" s="8">
        <v>5</v>
      </c>
      <c r="K405" s="48">
        <v>6.771990740740741E-4</v>
      </c>
      <c r="L405" s="51">
        <v>78</v>
      </c>
    </row>
    <row r="406" spans="1:25" x14ac:dyDescent="0.25">
      <c r="A406" s="64"/>
      <c r="B406" s="43"/>
      <c r="C406" s="67"/>
      <c r="D406" s="70"/>
      <c r="E406" s="70"/>
      <c r="F406" s="43"/>
      <c r="G406" s="43"/>
      <c r="H406" s="43"/>
      <c r="I406" s="46"/>
      <c r="J406" s="9">
        <v>6</v>
      </c>
      <c r="K406" s="49"/>
      <c r="L406" s="52"/>
    </row>
    <row r="407" spans="1:25" ht="17.25" thickBot="1" x14ac:dyDescent="0.3">
      <c r="A407" s="65"/>
      <c r="B407" s="44"/>
      <c r="C407" s="68"/>
      <c r="D407" s="71"/>
      <c r="E407" s="71"/>
      <c r="F407" s="44"/>
      <c r="G407" s="44"/>
      <c r="H407" s="44"/>
      <c r="I407" s="47"/>
      <c r="J407" s="11">
        <v>12</v>
      </c>
      <c r="K407" s="50"/>
      <c r="L407" s="53"/>
    </row>
    <row r="408" spans="1:25" ht="17.25" thickTop="1" x14ac:dyDescent="0.25"/>
  </sheetData>
  <mergeCells count="1214">
    <mergeCell ref="A405:A407"/>
    <mergeCell ref="B405:B407"/>
    <mergeCell ref="C405:C407"/>
    <mergeCell ref="D405:D407"/>
    <mergeCell ref="E405:E407"/>
    <mergeCell ref="F405:F407"/>
    <mergeCell ref="G405:G407"/>
    <mergeCell ref="H405:H407"/>
    <mergeCell ref="I405:I407"/>
    <mergeCell ref="K405:K407"/>
    <mergeCell ref="L405:L407"/>
    <mergeCell ref="A399:A401"/>
    <mergeCell ref="B399:B401"/>
    <mergeCell ref="C399:C401"/>
    <mergeCell ref="D399:D401"/>
    <mergeCell ref="E399:E401"/>
    <mergeCell ref="F399:F401"/>
    <mergeCell ref="G399:G401"/>
    <mergeCell ref="H399:H401"/>
    <mergeCell ref="I399:I401"/>
    <mergeCell ref="K399:K401"/>
    <mergeCell ref="L399:L401"/>
    <mergeCell ref="A402:A404"/>
    <mergeCell ref="B402:B404"/>
    <mergeCell ref="C402:C404"/>
    <mergeCell ref="D402:D404"/>
    <mergeCell ref="E402:E404"/>
    <mergeCell ref="F402:F404"/>
    <mergeCell ref="G402:G404"/>
    <mergeCell ref="H402:H404"/>
    <mergeCell ref="I402:I404"/>
    <mergeCell ref="K402:K404"/>
    <mergeCell ref="L402:L404"/>
    <mergeCell ref="A393:A395"/>
    <mergeCell ref="B393:B395"/>
    <mergeCell ref="C393:C395"/>
    <mergeCell ref="D393:D395"/>
    <mergeCell ref="E393:E395"/>
    <mergeCell ref="F393:F395"/>
    <mergeCell ref="G393:G395"/>
    <mergeCell ref="H393:H395"/>
    <mergeCell ref="I393:I395"/>
    <mergeCell ref="K393:K395"/>
    <mergeCell ref="L393:L395"/>
    <mergeCell ref="A396:A398"/>
    <mergeCell ref="B396:B398"/>
    <mergeCell ref="C396:C398"/>
    <mergeCell ref="D396:D398"/>
    <mergeCell ref="E396:E398"/>
    <mergeCell ref="F396:F398"/>
    <mergeCell ref="G396:G398"/>
    <mergeCell ref="H396:H398"/>
    <mergeCell ref="I396:I398"/>
    <mergeCell ref="K396:K398"/>
    <mergeCell ref="L396:L398"/>
    <mergeCell ref="A387:A389"/>
    <mergeCell ref="B387:B389"/>
    <mergeCell ref="C387:C389"/>
    <mergeCell ref="D387:D389"/>
    <mergeCell ref="E387:E389"/>
    <mergeCell ref="F387:F389"/>
    <mergeCell ref="G387:G389"/>
    <mergeCell ref="H387:H389"/>
    <mergeCell ref="I387:I389"/>
    <mergeCell ref="K387:K389"/>
    <mergeCell ref="L387:L389"/>
    <mergeCell ref="A390:A392"/>
    <mergeCell ref="B390:B392"/>
    <mergeCell ref="C390:C392"/>
    <mergeCell ref="D390:D392"/>
    <mergeCell ref="E390:E392"/>
    <mergeCell ref="F390:F392"/>
    <mergeCell ref="G390:G392"/>
    <mergeCell ref="H390:H392"/>
    <mergeCell ref="I390:I392"/>
    <mergeCell ref="K390:K392"/>
    <mergeCell ref="L390:L392"/>
    <mergeCell ref="A381:A383"/>
    <mergeCell ref="B381:B383"/>
    <mergeCell ref="C381:C383"/>
    <mergeCell ref="D381:D383"/>
    <mergeCell ref="E381:E383"/>
    <mergeCell ref="F381:F383"/>
    <mergeCell ref="G381:G383"/>
    <mergeCell ref="H381:H383"/>
    <mergeCell ref="I381:I383"/>
    <mergeCell ref="K381:K383"/>
    <mergeCell ref="L381:L383"/>
    <mergeCell ref="A384:A386"/>
    <mergeCell ref="B384:B386"/>
    <mergeCell ref="C384:C386"/>
    <mergeCell ref="D384:D386"/>
    <mergeCell ref="E384:E386"/>
    <mergeCell ref="F384:F386"/>
    <mergeCell ref="G384:G386"/>
    <mergeCell ref="H384:H386"/>
    <mergeCell ref="I384:I386"/>
    <mergeCell ref="K384:K386"/>
    <mergeCell ref="L384:L386"/>
    <mergeCell ref="A375:A377"/>
    <mergeCell ref="B375:B377"/>
    <mergeCell ref="C375:C377"/>
    <mergeCell ref="D375:D377"/>
    <mergeCell ref="E375:E377"/>
    <mergeCell ref="F375:F377"/>
    <mergeCell ref="G375:G377"/>
    <mergeCell ref="H375:H377"/>
    <mergeCell ref="I375:I377"/>
    <mergeCell ref="K375:K377"/>
    <mergeCell ref="L375:L377"/>
    <mergeCell ref="A378:A380"/>
    <mergeCell ref="B378:B380"/>
    <mergeCell ref="C378:C380"/>
    <mergeCell ref="D378:D380"/>
    <mergeCell ref="E378:E380"/>
    <mergeCell ref="F378:F380"/>
    <mergeCell ref="G378:G380"/>
    <mergeCell ref="H378:H380"/>
    <mergeCell ref="I378:I380"/>
    <mergeCell ref="K378:K380"/>
    <mergeCell ref="L378:L380"/>
    <mergeCell ref="A370:A371"/>
    <mergeCell ref="B370:B371"/>
    <mergeCell ref="C370:C371"/>
    <mergeCell ref="D370:D371"/>
    <mergeCell ref="E370:E371"/>
    <mergeCell ref="H370:H371"/>
    <mergeCell ref="A372:A374"/>
    <mergeCell ref="B372:B374"/>
    <mergeCell ref="C372:C374"/>
    <mergeCell ref="D372:D374"/>
    <mergeCell ref="E372:E374"/>
    <mergeCell ref="F372:F374"/>
    <mergeCell ref="G372:G374"/>
    <mergeCell ref="H372:H374"/>
    <mergeCell ref="I372:I374"/>
    <mergeCell ref="K372:K374"/>
    <mergeCell ref="L372:L374"/>
    <mergeCell ref="A1:A2"/>
    <mergeCell ref="B1:B2"/>
    <mergeCell ref="C1:C2"/>
    <mergeCell ref="D1:D2"/>
    <mergeCell ref="E1:E2"/>
    <mergeCell ref="H1:H2"/>
    <mergeCell ref="F7:F10"/>
    <mergeCell ref="G7:G10"/>
    <mergeCell ref="H7:H10"/>
    <mergeCell ref="I7:I10"/>
    <mergeCell ref="K7:K10"/>
    <mergeCell ref="L7:L10"/>
    <mergeCell ref="G3:G6"/>
    <mergeCell ref="H3:H6"/>
    <mergeCell ref="I3:I6"/>
    <mergeCell ref="K3:K6"/>
    <mergeCell ref="L3:L6"/>
    <mergeCell ref="A7:A10"/>
    <mergeCell ref="B7:B10"/>
    <mergeCell ref="C7:C10"/>
    <mergeCell ref="D7:D10"/>
    <mergeCell ref="E7:E10"/>
    <mergeCell ref="A3:A6"/>
    <mergeCell ref="B3:B6"/>
    <mergeCell ref="C3:C6"/>
    <mergeCell ref="D3:D6"/>
    <mergeCell ref="E3:E6"/>
    <mergeCell ref="F3:F6"/>
    <mergeCell ref="F15:F18"/>
    <mergeCell ref="G15:G18"/>
    <mergeCell ref="H15:H18"/>
    <mergeCell ref="I15:I18"/>
    <mergeCell ref="K15:K18"/>
    <mergeCell ref="L15:L18"/>
    <mergeCell ref="G11:G14"/>
    <mergeCell ref="H11:H14"/>
    <mergeCell ref="I11:I14"/>
    <mergeCell ref="K11:K14"/>
    <mergeCell ref="L11:L14"/>
    <mergeCell ref="A15:A18"/>
    <mergeCell ref="B15:B18"/>
    <mergeCell ref="C15:C18"/>
    <mergeCell ref="D15:D18"/>
    <mergeCell ref="E15:E18"/>
    <mergeCell ref="A11:A14"/>
    <mergeCell ref="B11:B14"/>
    <mergeCell ref="C11:C14"/>
    <mergeCell ref="D11:D14"/>
    <mergeCell ref="E11:E14"/>
    <mergeCell ref="F11:F14"/>
    <mergeCell ref="F23:F26"/>
    <mergeCell ref="G23:G26"/>
    <mergeCell ref="H23:H26"/>
    <mergeCell ref="I23:I26"/>
    <mergeCell ref="K23:K26"/>
    <mergeCell ref="L23:L26"/>
    <mergeCell ref="G19:G22"/>
    <mergeCell ref="H19:H22"/>
    <mergeCell ref="I19:I22"/>
    <mergeCell ref="K19:K22"/>
    <mergeCell ref="L19:L22"/>
    <mergeCell ref="A23:A26"/>
    <mergeCell ref="B23:B26"/>
    <mergeCell ref="C23:C26"/>
    <mergeCell ref="D23:D26"/>
    <mergeCell ref="E23:E26"/>
    <mergeCell ref="A19:A22"/>
    <mergeCell ref="B19:B22"/>
    <mergeCell ref="C19:C22"/>
    <mergeCell ref="D19:D22"/>
    <mergeCell ref="E19:E22"/>
    <mergeCell ref="F19:F22"/>
    <mergeCell ref="F31:F34"/>
    <mergeCell ref="G31:G34"/>
    <mergeCell ref="H31:H34"/>
    <mergeCell ref="I31:I34"/>
    <mergeCell ref="K31:K34"/>
    <mergeCell ref="L31:L34"/>
    <mergeCell ref="G27:G30"/>
    <mergeCell ref="H27:H30"/>
    <mergeCell ref="I27:I30"/>
    <mergeCell ref="K27:K30"/>
    <mergeCell ref="L27:L30"/>
    <mergeCell ref="A31:A34"/>
    <mergeCell ref="B31:B34"/>
    <mergeCell ref="C31:C34"/>
    <mergeCell ref="D31:D34"/>
    <mergeCell ref="E31:E34"/>
    <mergeCell ref="A27:A30"/>
    <mergeCell ref="B27:B30"/>
    <mergeCell ref="C27:C30"/>
    <mergeCell ref="D27:D30"/>
    <mergeCell ref="E27:E30"/>
    <mergeCell ref="F27:F30"/>
    <mergeCell ref="F39:F42"/>
    <mergeCell ref="G39:G42"/>
    <mergeCell ref="H39:H42"/>
    <mergeCell ref="I39:I42"/>
    <mergeCell ref="K39:K42"/>
    <mergeCell ref="L39:L42"/>
    <mergeCell ref="G35:G38"/>
    <mergeCell ref="H35:H38"/>
    <mergeCell ref="I35:I38"/>
    <mergeCell ref="K35:K38"/>
    <mergeCell ref="L35:L38"/>
    <mergeCell ref="A39:A42"/>
    <mergeCell ref="B39:B42"/>
    <mergeCell ref="C39:C42"/>
    <mergeCell ref="D39:D42"/>
    <mergeCell ref="E39:E42"/>
    <mergeCell ref="A35:A38"/>
    <mergeCell ref="B35:B38"/>
    <mergeCell ref="C35:C38"/>
    <mergeCell ref="D35:D38"/>
    <mergeCell ref="E35:E38"/>
    <mergeCell ref="F35:F38"/>
    <mergeCell ref="A51:A52"/>
    <mergeCell ref="B51:B52"/>
    <mergeCell ref="C51:C52"/>
    <mergeCell ref="D51:D52"/>
    <mergeCell ref="E51:E52"/>
    <mergeCell ref="H51:H52"/>
    <mergeCell ref="F47:F50"/>
    <mergeCell ref="G47:G50"/>
    <mergeCell ref="H47:H50"/>
    <mergeCell ref="I47:I50"/>
    <mergeCell ref="K47:K50"/>
    <mergeCell ref="L47:L50"/>
    <mergeCell ref="G43:G46"/>
    <mergeCell ref="H43:H46"/>
    <mergeCell ref="I43:I46"/>
    <mergeCell ref="K43:K46"/>
    <mergeCell ref="L43:L46"/>
    <mergeCell ref="A47:A50"/>
    <mergeCell ref="B47:B50"/>
    <mergeCell ref="C47:C50"/>
    <mergeCell ref="D47:D50"/>
    <mergeCell ref="E47:E50"/>
    <mergeCell ref="A43:A46"/>
    <mergeCell ref="B43:B46"/>
    <mergeCell ref="C43:C46"/>
    <mergeCell ref="D43:D46"/>
    <mergeCell ref="E43:E46"/>
    <mergeCell ref="F43:F46"/>
    <mergeCell ref="F56:F58"/>
    <mergeCell ref="G56:G58"/>
    <mergeCell ref="H56:H58"/>
    <mergeCell ref="I56:I58"/>
    <mergeCell ref="K56:K58"/>
    <mergeCell ref="L56:L58"/>
    <mergeCell ref="G53:G55"/>
    <mergeCell ref="H53:H55"/>
    <mergeCell ref="I53:I55"/>
    <mergeCell ref="K53:K55"/>
    <mergeCell ref="L53:L55"/>
    <mergeCell ref="A56:A58"/>
    <mergeCell ref="B56:B58"/>
    <mergeCell ref="C56:C58"/>
    <mergeCell ref="D56:D58"/>
    <mergeCell ref="E56:E58"/>
    <mergeCell ref="A53:A55"/>
    <mergeCell ref="B53:B55"/>
    <mergeCell ref="C53:C55"/>
    <mergeCell ref="D53:D55"/>
    <mergeCell ref="E53:E55"/>
    <mergeCell ref="F53:F55"/>
    <mergeCell ref="F62:F64"/>
    <mergeCell ref="G62:G64"/>
    <mergeCell ref="H62:H64"/>
    <mergeCell ref="I62:I64"/>
    <mergeCell ref="K62:K64"/>
    <mergeCell ref="L62:L64"/>
    <mergeCell ref="G59:G61"/>
    <mergeCell ref="H59:H61"/>
    <mergeCell ref="I59:I61"/>
    <mergeCell ref="K59:K61"/>
    <mergeCell ref="L59:L61"/>
    <mergeCell ref="A62:A64"/>
    <mergeCell ref="B62:B64"/>
    <mergeCell ref="C62:C64"/>
    <mergeCell ref="D62:D64"/>
    <mergeCell ref="E62:E64"/>
    <mergeCell ref="A59:A61"/>
    <mergeCell ref="B59:B61"/>
    <mergeCell ref="C59:C61"/>
    <mergeCell ref="D59:D61"/>
    <mergeCell ref="E59:E61"/>
    <mergeCell ref="F59:F61"/>
    <mergeCell ref="F68:F70"/>
    <mergeCell ref="G68:G70"/>
    <mergeCell ref="H68:H70"/>
    <mergeCell ref="I68:I70"/>
    <mergeCell ref="K68:K70"/>
    <mergeCell ref="L68:L70"/>
    <mergeCell ref="G65:G67"/>
    <mergeCell ref="H65:H67"/>
    <mergeCell ref="I65:I67"/>
    <mergeCell ref="K65:K67"/>
    <mergeCell ref="L65:L67"/>
    <mergeCell ref="A68:A70"/>
    <mergeCell ref="B68:B70"/>
    <mergeCell ref="C68:C70"/>
    <mergeCell ref="D68:D70"/>
    <mergeCell ref="E68:E70"/>
    <mergeCell ref="A65:A67"/>
    <mergeCell ref="B65:B67"/>
    <mergeCell ref="C65:C67"/>
    <mergeCell ref="D65:D67"/>
    <mergeCell ref="E65:E67"/>
    <mergeCell ref="F65:F67"/>
    <mergeCell ref="F74:F76"/>
    <mergeCell ref="G74:G76"/>
    <mergeCell ref="H74:H76"/>
    <mergeCell ref="I74:I76"/>
    <mergeCell ref="K74:K76"/>
    <mergeCell ref="L74:L76"/>
    <mergeCell ref="G71:G73"/>
    <mergeCell ref="H71:H73"/>
    <mergeCell ref="I71:I73"/>
    <mergeCell ref="K71:K73"/>
    <mergeCell ref="L71:L73"/>
    <mergeCell ref="A74:A76"/>
    <mergeCell ref="B74:B76"/>
    <mergeCell ref="C74:C76"/>
    <mergeCell ref="D74:D76"/>
    <mergeCell ref="E74:E76"/>
    <mergeCell ref="A71:A73"/>
    <mergeCell ref="B71:B73"/>
    <mergeCell ref="C71:C73"/>
    <mergeCell ref="D71:D73"/>
    <mergeCell ref="E71:E73"/>
    <mergeCell ref="F71:F73"/>
    <mergeCell ref="F80:F82"/>
    <mergeCell ref="G80:G82"/>
    <mergeCell ref="H80:H82"/>
    <mergeCell ref="I80:I82"/>
    <mergeCell ref="K80:K82"/>
    <mergeCell ref="L80:L82"/>
    <mergeCell ref="G77:G79"/>
    <mergeCell ref="H77:H79"/>
    <mergeCell ref="I77:I79"/>
    <mergeCell ref="K77:K79"/>
    <mergeCell ref="L77:L79"/>
    <mergeCell ref="A80:A82"/>
    <mergeCell ref="B80:B82"/>
    <mergeCell ref="C80:C82"/>
    <mergeCell ref="D80:D82"/>
    <mergeCell ref="E80:E82"/>
    <mergeCell ref="A77:A79"/>
    <mergeCell ref="B77:B79"/>
    <mergeCell ref="C77:C79"/>
    <mergeCell ref="D77:D79"/>
    <mergeCell ref="E77:E79"/>
    <mergeCell ref="F77:F79"/>
    <mergeCell ref="A89:A90"/>
    <mergeCell ref="B89:B90"/>
    <mergeCell ref="C89:C90"/>
    <mergeCell ref="D89:D90"/>
    <mergeCell ref="E89:E90"/>
    <mergeCell ref="H89:H90"/>
    <mergeCell ref="F86:F88"/>
    <mergeCell ref="G86:G88"/>
    <mergeCell ref="H86:H88"/>
    <mergeCell ref="I86:I88"/>
    <mergeCell ref="K86:K88"/>
    <mergeCell ref="L86:L88"/>
    <mergeCell ref="G83:G85"/>
    <mergeCell ref="H83:H85"/>
    <mergeCell ref="I83:I85"/>
    <mergeCell ref="K83:K85"/>
    <mergeCell ref="L83:L85"/>
    <mergeCell ref="A86:A88"/>
    <mergeCell ref="B86:B88"/>
    <mergeCell ref="C86:C88"/>
    <mergeCell ref="D86:D88"/>
    <mergeCell ref="E86:E88"/>
    <mergeCell ref="A83:A85"/>
    <mergeCell ref="B83:B85"/>
    <mergeCell ref="C83:C85"/>
    <mergeCell ref="D83:D85"/>
    <mergeCell ref="E83:E85"/>
    <mergeCell ref="F83:F85"/>
    <mergeCell ref="F95:F98"/>
    <mergeCell ref="G95:G98"/>
    <mergeCell ref="H95:H98"/>
    <mergeCell ref="I95:I98"/>
    <mergeCell ref="K95:K98"/>
    <mergeCell ref="L95:L98"/>
    <mergeCell ref="G91:G94"/>
    <mergeCell ref="H91:H94"/>
    <mergeCell ref="I91:I94"/>
    <mergeCell ref="K91:K94"/>
    <mergeCell ref="L91:L94"/>
    <mergeCell ref="A95:A98"/>
    <mergeCell ref="B95:B98"/>
    <mergeCell ref="C95:C98"/>
    <mergeCell ref="D95:D98"/>
    <mergeCell ref="E95:E98"/>
    <mergeCell ref="A91:A94"/>
    <mergeCell ref="B91:B94"/>
    <mergeCell ref="C91:C94"/>
    <mergeCell ref="D91:D94"/>
    <mergeCell ref="E91:E94"/>
    <mergeCell ref="F91:F94"/>
    <mergeCell ref="F103:F106"/>
    <mergeCell ref="G103:G106"/>
    <mergeCell ref="H103:H106"/>
    <mergeCell ref="I103:I106"/>
    <mergeCell ref="K103:K106"/>
    <mergeCell ref="L103:L106"/>
    <mergeCell ref="G99:G102"/>
    <mergeCell ref="H99:H102"/>
    <mergeCell ref="I99:I102"/>
    <mergeCell ref="K99:K102"/>
    <mergeCell ref="L99:L102"/>
    <mergeCell ref="A103:A106"/>
    <mergeCell ref="B103:B106"/>
    <mergeCell ref="C103:C106"/>
    <mergeCell ref="D103:D106"/>
    <mergeCell ref="E103:E106"/>
    <mergeCell ref="A99:A102"/>
    <mergeCell ref="B99:B102"/>
    <mergeCell ref="C99:C102"/>
    <mergeCell ref="D99:D102"/>
    <mergeCell ref="E99:E102"/>
    <mergeCell ref="F99:F102"/>
    <mergeCell ref="F111:F114"/>
    <mergeCell ref="G111:G114"/>
    <mergeCell ref="H111:H114"/>
    <mergeCell ref="I111:I114"/>
    <mergeCell ref="K111:K114"/>
    <mergeCell ref="L111:L114"/>
    <mergeCell ref="G107:G110"/>
    <mergeCell ref="H107:H110"/>
    <mergeCell ref="I107:I110"/>
    <mergeCell ref="K107:K110"/>
    <mergeCell ref="L107:L110"/>
    <mergeCell ref="A111:A114"/>
    <mergeCell ref="B111:B114"/>
    <mergeCell ref="C111:C114"/>
    <mergeCell ref="D111:D114"/>
    <mergeCell ref="E111:E114"/>
    <mergeCell ref="A107:A110"/>
    <mergeCell ref="B107:B110"/>
    <mergeCell ref="C107:C110"/>
    <mergeCell ref="D107:D110"/>
    <mergeCell ref="E107:E110"/>
    <mergeCell ref="F107:F110"/>
    <mergeCell ref="F119:F122"/>
    <mergeCell ref="G119:G122"/>
    <mergeCell ref="H119:H122"/>
    <mergeCell ref="I119:I122"/>
    <mergeCell ref="K119:K122"/>
    <mergeCell ref="L119:L122"/>
    <mergeCell ref="G115:G118"/>
    <mergeCell ref="H115:H118"/>
    <mergeCell ref="I115:I118"/>
    <mergeCell ref="K115:K118"/>
    <mergeCell ref="L115:L118"/>
    <mergeCell ref="A119:A122"/>
    <mergeCell ref="B119:B122"/>
    <mergeCell ref="C119:C122"/>
    <mergeCell ref="D119:D122"/>
    <mergeCell ref="E119:E122"/>
    <mergeCell ref="A115:A118"/>
    <mergeCell ref="B115:B118"/>
    <mergeCell ref="C115:C118"/>
    <mergeCell ref="D115:D118"/>
    <mergeCell ref="E115:E118"/>
    <mergeCell ref="F115:F118"/>
    <mergeCell ref="F127:F130"/>
    <mergeCell ref="G127:G130"/>
    <mergeCell ref="H127:H130"/>
    <mergeCell ref="I127:I130"/>
    <mergeCell ref="K127:K130"/>
    <mergeCell ref="L127:L130"/>
    <mergeCell ref="G123:G126"/>
    <mergeCell ref="H123:H126"/>
    <mergeCell ref="I123:I126"/>
    <mergeCell ref="K123:K126"/>
    <mergeCell ref="L123:L126"/>
    <mergeCell ref="A127:A130"/>
    <mergeCell ref="B127:B130"/>
    <mergeCell ref="C127:C130"/>
    <mergeCell ref="D127:D130"/>
    <mergeCell ref="E127:E130"/>
    <mergeCell ref="A123:A126"/>
    <mergeCell ref="B123:B126"/>
    <mergeCell ref="C123:C126"/>
    <mergeCell ref="D123:D126"/>
    <mergeCell ref="E123:E126"/>
    <mergeCell ref="F123:F126"/>
    <mergeCell ref="A140:A141"/>
    <mergeCell ref="B140:B141"/>
    <mergeCell ref="C140:C141"/>
    <mergeCell ref="D140:D141"/>
    <mergeCell ref="E140:E141"/>
    <mergeCell ref="H140:H141"/>
    <mergeCell ref="F135:F138"/>
    <mergeCell ref="G135:G138"/>
    <mergeCell ref="H135:H138"/>
    <mergeCell ref="I135:I138"/>
    <mergeCell ref="K135:K138"/>
    <mergeCell ref="L135:L138"/>
    <mergeCell ref="G131:G134"/>
    <mergeCell ref="H131:H134"/>
    <mergeCell ref="I131:I134"/>
    <mergeCell ref="K131:K134"/>
    <mergeCell ref="L131:L134"/>
    <mergeCell ref="A135:A138"/>
    <mergeCell ref="B135:B138"/>
    <mergeCell ref="C135:C138"/>
    <mergeCell ref="D135:D138"/>
    <mergeCell ref="E135:E138"/>
    <mergeCell ref="A131:A134"/>
    <mergeCell ref="B131:B134"/>
    <mergeCell ref="C131:C134"/>
    <mergeCell ref="D131:D134"/>
    <mergeCell ref="E131:E134"/>
    <mergeCell ref="F131:F134"/>
    <mergeCell ref="F145:F147"/>
    <mergeCell ref="G145:G147"/>
    <mergeCell ref="H145:H147"/>
    <mergeCell ref="I145:I147"/>
    <mergeCell ref="K145:K147"/>
    <mergeCell ref="L145:L147"/>
    <mergeCell ref="G142:G144"/>
    <mergeCell ref="H142:H144"/>
    <mergeCell ref="I142:I144"/>
    <mergeCell ref="K142:K144"/>
    <mergeCell ref="L142:L144"/>
    <mergeCell ref="A145:A147"/>
    <mergeCell ref="B145:B147"/>
    <mergeCell ref="C145:C147"/>
    <mergeCell ref="D145:D147"/>
    <mergeCell ref="E145:E147"/>
    <mergeCell ref="A142:A144"/>
    <mergeCell ref="B142:B144"/>
    <mergeCell ref="C142:C144"/>
    <mergeCell ref="D142:D144"/>
    <mergeCell ref="E142:E144"/>
    <mergeCell ref="F142:F144"/>
    <mergeCell ref="F151:F153"/>
    <mergeCell ref="G151:G153"/>
    <mergeCell ref="H151:H153"/>
    <mergeCell ref="I151:I153"/>
    <mergeCell ref="K151:K153"/>
    <mergeCell ref="L151:L153"/>
    <mergeCell ref="G148:G150"/>
    <mergeCell ref="H148:H150"/>
    <mergeCell ref="I148:I150"/>
    <mergeCell ref="K148:K150"/>
    <mergeCell ref="L148:L150"/>
    <mergeCell ref="A151:A153"/>
    <mergeCell ref="B151:B153"/>
    <mergeCell ref="C151:C153"/>
    <mergeCell ref="D151:D153"/>
    <mergeCell ref="E151:E153"/>
    <mergeCell ref="A148:A150"/>
    <mergeCell ref="B148:B150"/>
    <mergeCell ref="C148:C150"/>
    <mergeCell ref="D148:D150"/>
    <mergeCell ref="E148:E150"/>
    <mergeCell ref="F148:F150"/>
    <mergeCell ref="F157:F159"/>
    <mergeCell ref="G157:G159"/>
    <mergeCell ref="H157:H159"/>
    <mergeCell ref="I157:I159"/>
    <mergeCell ref="K157:K159"/>
    <mergeCell ref="L157:L159"/>
    <mergeCell ref="G154:G156"/>
    <mergeCell ref="H154:H156"/>
    <mergeCell ref="I154:I156"/>
    <mergeCell ref="K154:K156"/>
    <mergeCell ref="L154:L156"/>
    <mergeCell ref="A157:A159"/>
    <mergeCell ref="B157:B159"/>
    <mergeCell ref="C157:C159"/>
    <mergeCell ref="D157:D159"/>
    <mergeCell ref="E157:E159"/>
    <mergeCell ref="A154:A156"/>
    <mergeCell ref="B154:B156"/>
    <mergeCell ref="C154:C156"/>
    <mergeCell ref="D154:D156"/>
    <mergeCell ref="E154:E156"/>
    <mergeCell ref="F154:F156"/>
    <mergeCell ref="F163:F165"/>
    <mergeCell ref="G163:G165"/>
    <mergeCell ref="H163:H165"/>
    <mergeCell ref="I163:I165"/>
    <mergeCell ref="K163:K165"/>
    <mergeCell ref="L163:L165"/>
    <mergeCell ref="G160:G162"/>
    <mergeCell ref="H160:H162"/>
    <mergeCell ref="I160:I162"/>
    <mergeCell ref="K160:K162"/>
    <mergeCell ref="L160:L162"/>
    <mergeCell ref="A163:A165"/>
    <mergeCell ref="B163:B165"/>
    <mergeCell ref="C163:C165"/>
    <mergeCell ref="D163:D165"/>
    <mergeCell ref="E163:E165"/>
    <mergeCell ref="A160:A162"/>
    <mergeCell ref="B160:B162"/>
    <mergeCell ref="C160:C162"/>
    <mergeCell ref="D160:D162"/>
    <mergeCell ref="E160:E162"/>
    <mergeCell ref="F160:F162"/>
    <mergeCell ref="A174:A175"/>
    <mergeCell ref="B174:B175"/>
    <mergeCell ref="C174:C175"/>
    <mergeCell ref="D174:D175"/>
    <mergeCell ref="E174:E175"/>
    <mergeCell ref="H174:H175"/>
    <mergeCell ref="F169:F171"/>
    <mergeCell ref="G169:G171"/>
    <mergeCell ref="H169:H171"/>
    <mergeCell ref="I169:I171"/>
    <mergeCell ref="K169:K171"/>
    <mergeCell ref="L169:L171"/>
    <mergeCell ref="G166:G168"/>
    <mergeCell ref="H166:H168"/>
    <mergeCell ref="I166:I168"/>
    <mergeCell ref="K166:K168"/>
    <mergeCell ref="L166:L168"/>
    <mergeCell ref="A169:A171"/>
    <mergeCell ref="B169:B171"/>
    <mergeCell ref="C169:C171"/>
    <mergeCell ref="D169:D171"/>
    <mergeCell ref="E169:E171"/>
    <mergeCell ref="A166:A168"/>
    <mergeCell ref="B166:B168"/>
    <mergeCell ref="C166:C168"/>
    <mergeCell ref="D166:D168"/>
    <mergeCell ref="E166:E168"/>
    <mergeCell ref="F166:F168"/>
    <mergeCell ref="F180:F183"/>
    <mergeCell ref="G180:G183"/>
    <mergeCell ref="H180:H183"/>
    <mergeCell ref="I180:I183"/>
    <mergeCell ref="K180:K183"/>
    <mergeCell ref="L180:L183"/>
    <mergeCell ref="G176:G179"/>
    <mergeCell ref="H176:H179"/>
    <mergeCell ref="I176:I179"/>
    <mergeCell ref="K176:K179"/>
    <mergeCell ref="L176:L179"/>
    <mergeCell ref="A180:A183"/>
    <mergeCell ref="B180:B183"/>
    <mergeCell ref="C180:C183"/>
    <mergeCell ref="D180:D183"/>
    <mergeCell ref="E180:E183"/>
    <mergeCell ref="A176:A179"/>
    <mergeCell ref="B176:B179"/>
    <mergeCell ref="C176:C179"/>
    <mergeCell ref="D176:D179"/>
    <mergeCell ref="E176:E179"/>
    <mergeCell ref="F176:F179"/>
    <mergeCell ref="F188:F191"/>
    <mergeCell ref="G188:G191"/>
    <mergeCell ref="H188:H191"/>
    <mergeCell ref="I188:I191"/>
    <mergeCell ref="K188:K191"/>
    <mergeCell ref="L188:L191"/>
    <mergeCell ref="G184:G187"/>
    <mergeCell ref="H184:H187"/>
    <mergeCell ref="I184:I187"/>
    <mergeCell ref="K184:K187"/>
    <mergeCell ref="L184:L187"/>
    <mergeCell ref="A188:A191"/>
    <mergeCell ref="B188:B191"/>
    <mergeCell ref="C188:C191"/>
    <mergeCell ref="D188:D191"/>
    <mergeCell ref="E188:E191"/>
    <mergeCell ref="A184:A187"/>
    <mergeCell ref="B184:B187"/>
    <mergeCell ref="C184:C187"/>
    <mergeCell ref="D184:D187"/>
    <mergeCell ref="E184:E187"/>
    <mergeCell ref="F184:F187"/>
    <mergeCell ref="F196:F199"/>
    <mergeCell ref="G196:G199"/>
    <mergeCell ref="H196:H199"/>
    <mergeCell ref="I196:I199"/>
    <mergeCell ref="K196:K199"/>
    <mergeCell ref="L196:L199"/>
    <mergeCell ref="G192:G195"/>
    <mergeCell ref="H192:H195"/>
    <mergeCell ref="I192:I195"/>
    <mergeCell ref="K192:K195"/>
    <mergeCell ref="L192:L195"/>
    <mergeCell ref="A196:A199"/>
    <mergeCell ref="B196:B199"/>
    <mergeCell ref="C196:C199"/>
    <mergeCell ref="D196:D199"/>
    <mergeCell ref="E196:E199"/>
    <mergeCell ref="A192:A195"/>
    <mergeCell ref="B192:B195"/>
    <mergeCell ref="C192:C195"/>
    <mergeCell ref="D192:D195"/>
    <mergeCell ref="E192:E195"/>
    <mergeCell ref="F192:F195"/>
    <mergeCell ref="F204:F207"/>
    <mergeCell ref="G204:G207"/>
    <mergeCell ref="H204:H207"/>
    <mergeCell ref="I204:I207"/>
    <mergeCell ref="K204:K207"/>
    <mergeCell ref="L204:L207"/>
    <mergeCell ref="G200:G203"/>
    <mergeCell ref="H200:H203"/>
    <mergeCell ref="I200:I203"/>
    <mergeCell ref="K200:K203"/>
    <mergeCell ref="L200:L203"/>
    <mergeCell ref="A204:A207"/>
    <mergeCell ref="B204:B207"/>
    <mergeCell ref="C204:C207"/>
    <mergeCell ref="D204:D207"/>
    <mergeCell ref="E204:E207"/>
    <mergeCell ref="A200:A203"/>
    <mergeCell ref="B200:B203"/>
    <mergeCell ref="C200:C203"/>
    <mergeCell ref="D200:D203"/>
    <mergeCell ref="E200:E203"/>
    <mergeCell ref="F200:F203"/>
    <mergeCell ref="F212:F215"/>
    <mergeCell ref="G212:G215"/>
    <mergeCell ref="H212:H215"/>
    <mergeCell ref="I212:I215"/>
    <mergeCell ref="K212:K215"/>
    <mergeCell ref="L212:L215"/>
    <mergeCell ref="G208:G211"/>
    <mergeCell ref="H208:H211"/>
    <mergeCell ref="I208:I211"/>
    <mergeCell ref="K208:K211"/>
    <mergeCell ref="L208:L211"/>
    <mergeCell ref="A212:A215"/>
    <mergeCell ref="B212:B215"/>
    <mergeCell ref="C212:C215"/>
    <mergeCell ref="D212:D215"/>
    <mergeCell ref="E212:E215"/>
    <mergeCell ref="A208:A211"/>
    <mergeCell ref="B208:B211"/>
    <mergeCell ref="C208:C211"/>
    <mergeCell ref="D208:D211"/>
    <mergeCell ref="E208:E211"/>
    <mergeCell ref="F208:F211"/>
    <mergeCell ref="A224:A225"/>
    <mergeCell ref="B224:B225"/>
    <mergeCell ref="C224:C225"/>
    <mergeCell ref="D224:D225"/>
    <mergeCell ref="E224:E225"/>
    <mergeCell ref="H224:H225"/>
    <mergeCell ref="F220:F223"/>
    <mergeCell ref="G220:G223"/>
    <mergeCell ref="H220:H223"/>
    <mergeCell ref="I220:I223"/>
    <mergeCell ref="K220:K223"/>
    <mergeCell ref="L220:L223"/>
    <mergeCell ref="G216:G219"/>
    <mergeCell ref="H216:H219"/>
    <mergeCell ref="I216:I219"/>
    <mergeCell ref="K216:K219"/>
    <mergeCell ref="L216:L219"/>
    <mergeCell ref="A220:A223"/>
    <mergeCell ref="B220:B223"/>
    <mergeCell ref="C220:C223"/>
    <mergeCell ref="D220:D223"/>
    <mergeCell ref="E220:E223"/>
    <mergeCell ref="A216:A219"/>
    <mergeCell ref="B216:B219"/>
    <mergeCell ref="C216:C219"/>
    <mergeCell ref="D216:D219"/>
    <mergeCell ref="E216:E219"/>
    <mergeCell ref="F216:F219"/>
    <mergeCell ref="F229:F231"/>
    <mergeCell ref="G229:G231"/>
    <mergeCell ref="H229:H231"/>
    <mergeCell ref="I229:I231"/>
    <mergeCell ref="K229:K231"/>
    <mergeCell ref="L229:L231"/>
    <mergeCell ref="G226:G228"/>
    <mergeCell ref="H226:H228"/>
    <mergeCell ref="I226:I228"/>
    <mergeCell ref="K226:K228"/>
    <mergeCell ref="L226:L228"/>
    <mergeCell ref="A229:A231"/>
    <mergeCell ref="B229:B231"/>
    <mergeCell ref="C229:C231"/>
    <mergeCell ref="D229:D231"/>
    <mergeCell ref="E229:E231"/>
    <mergeCell ref="A226:A228"/>
    <mergeCell ref="B226:B228"/>
    <mergeCell ref="C226:C228"/>
    <mergeCell ref="D226:D228"/>
    <mergeCell ref="E226:E228"/>
    <mergeCell ref="F226:F228"/>
    <mergeCell ref="F235:F237"/>
    <mergeCell ref="G235:G237"/>
    <mergeCell ref="H235:H237"/>
    <mergeCell ref="I235:I237"/>
    <mergeCell ref="K235:K237"/>
    <mergeCell ref="L235:L237"/>
    <mergeCell ref="G232:G234"/>
    <mergeCell ref="H232:H234"/>
    <mergeCell ref="I232:I234"/>
    <mergeCell ref="K232:K234"/>
    <mergeCell ref="L232:L234"/>
    <mergeCell ref="A235:A237"/>
    <mergeCell ref="B235:B237"/>
    <mergeCell ref="C235:C237"/>
    <mergeCell ref="D235:D237"/>
    <mergeCell ref="E235:E237"/>
    <mergeCell ref="A232:A234"/>
    <mergeCell ref="B232:B234"/>
    <mergeCell ref="C232:C234"/>
    <mergeCell ref="D232:D234"/>
    <mergeCell ref="E232:E234"/>
    <mergeCell ref="F232:F234"/>
    <mergeCell ref="F241:F243"/>
    <mergeCell ref="G241:G243"/>
    <mergeCell ref="H241:H243"/>
    <mergeCell ref="I241:I243"/>
    <mergeCell ref="K241:K243"/>
    <mergeCell ref="L241:L243"/>
    <mergeCell ref="G238:G240"/>
    <mergeCell ref="H238:H240"/>
    <mergeCell ref="I238:I240"/>
    <mergeCell ref="K238:K240"/>
    <mergeCell ref="L238:L240"/>
    <mergeCell ref="A241:A243"/>
    <mergeCell ref="B241:B243"/>
    <mergeCell ref="C241:C243"/>
    <mergeCell ref="D241:D243"/>
    <mergeCell ref="E241:E243"/>
    <mergeCell ref="A238:A240"/>
    <mergeCell ref="B238:B240"/>
    <mergeCell ref="C238:C240"/>
    <mergeCell ref="D238:D240"/>
    <mergeCell ref="E238:E240"/>
    <mergeCell ref="F238:F240"/>
    <mergeCell ref="F247:F249"/>
    <mergeCell ref="G247:G249"/>
    <mergeCell ref="H247:H249"/>
    <mergeCell ref="I247:I249"/>
    <mergeCell ref="K247:K249"/>
    <mergeCell ref="L247:L249"/>
    <mergeCell ref="G244:G246"/>
    <mergeCell ref="H244:H246"/>
    <mergeCell ref="I244:I246"/>
    <mergeCell ref="K244:K246"/>
    <mergeCell ref="L244:L246"/>
    <mergeCell ref="A247:A249"/>
    <mergeCell ref="B247:B249"/>
    <mergeCell ref="C247:C249"/>
    <mergeCell ref="D247:D249"/>
    <mergeCell ref="E247:E249"/>
    <mergeCell ref="A244:A246"/>
    <mergeCell ref="B244:B246"/>
    <mergeCell ref="C244:C246"/>
    <mergeCell ref="D244:D246"/>
    <mergeCell ref="E244:E246"/>
    <mergeCell ref="F244:F246"/>
    <mergeCell ref="F253:F255"/>
    <mergeCell ref="G253:G255"/>
    <mergeCell ref="H253:H255"/>
    <mergeCell ref="I253:I255"/>
    <mergeCell ref="K253:K255"/>
    <mergeCell ref="L253:L255"/>
    <mergeCell ref="G250:G252"/>
    <mergeCell ref="H250:H252"/>
    <mergeCell ref="I250:I252"/>
    <mergeCell ref="K250:K252"/>
    <mergeCell ref="L250:L252"/>
    <mergeCell ref="A253:A255"/>
    <mergeCell ref="B253:B255"/>
    <mergeCell ref="C253:C255"/>
    <mergeCell ref="D253:D255"/>
    <mergeCell ref="E253:E255"/>
    <mergeCell ref="A250:A252"/>
    <mergeCell ref="B250:B252"/>
    <mergeCell ref="C250:C252"/>
    <mergeCell ref="D250:D252"/>
    <mergeCell ref="E250:E252"/>
    <mergeCell ref="F250:F252"/>
    <mergeCell ref="F259:F261"/>
    <mergeCell ref="G259:G261"/>
    <mergeCell ref="H259:H261"/>
    <mergeCell ref="I259:I261"/>
    <mergeCell ref="K259:K261"/>
    <mergeCell ref="L259:L261"/>
    <mergeCell ref="G256:G258"/>
    <mergeCell ref="H256:H258"/>
    <mergeCell ref="I256:I258"/>
    <mergeCell ref="K256:K258"/>
    <mergeCell ref="L256:L258"/>
    <mergeCell ref="A259:A261"/>
    <mergeCell ref="B259:B261"/>
    <mergeCell ref="C259:C261"/>
    <mergeCell ref="D259:D261"/>
    <mergeCell ref="E259:E261"/>
    <mergeCell ref="A256:A258"/>
    <mergeCell ref="B256:B258"/>
    <mergeCell ref="C256:C258"/>
    <mergeCell ref="D256:D258"/>
    <mergeCell ref="E256:E258"/>
    <mergeCell ref="F256:F258"/>
    <mergeCell ref="F265:F267"/>
    <mergeCell ref="G265:G267"/>
    <mergeCell ref="H265:H267"/>
    <mergeCell ref="I265:I267"/>
    <mergeCell ref="K265:K267"/>
    <mergeCell ref="L265:L267"/>
    <mergeCell ref="G262:G264"/>
    <mergeCell ref="H262:H264"/>
    <mergeCell ref="I262:I264"/>
    <mergeCell ref="K262:K264"/>
    <mergeCell ref="L262:L264"/>
    <mergeCell ref="A265:A267"/>
    <mergeCell ref="B265:B267"/>
    <mergeCell ref="C265:C267"/>
    <mergeCell ref="D265:D267"/>
    <mergeCell ref="E265:E267"/>
    <mergeCell ref="A262:A264"/>
    <mergeCell ref="B262:B264"/>
    <mergeCell ref="C262:C264"/>
    <mergeCell ref="D262:D264"/>
    <mergeCell ref="E262:E264"/>
    <mergeCell ref="F262:F264"/>
    <mergeCell ref="F271:F273"/>
    <mergeCell ref="G271:G273"/>
    <mergeCell ref="H271:H273"/>
    <mergeCell ref="I271:I273"/>
    <mergeCell ref="K271:K273"/>
    <mergeCell ref="L271:L273"/>
    <mergeCell ref="G268:G270"/>
    <mergeCell ref="H268:H270"/>
    <mergeCell ref="I268:I270"/>
    <mergeCell ref="K268:K270"/>
    <mergeCell ref="L268:L270"/>
    <mergeCell ref="A271:A273"/>
    <mergeCell ref="B271:B273"/>
    <mergeCell ref="C271:C273"/>
    <mergeCell ref="D271:D273"/>
    <mergeCell ref="E271:E273"/>
    <mergeCell ref="A268:A270"/>
    <mergeCell ref="B268:B270"/>
    <mergeCell ref="C268:C270"/>
    <mergeCell ref="D268:D270"/>
    <mergeCell ref="E268:E270"/>
    <mergeCell ref="F268:F270"/>
    <mergeCell ref="F277:F279"/>
    <mergeCell ref="G277:G279"/>
    <mergeCell ref="H277:H279"/>
    <mergeCell ref="I277:I279"/>
    <mergeCell ref="K277:K279"/>
    <mergeCell ref="L277:L279"/>
    <mergeCell ref="G274:G276"/>
    <mergeCell ref="H274:H276"/>
    <mergeCell ref="I274:I276"/>
    <mergeCell ref="K274:K276"/>
    <mergeCell ref="L274:L276"/>
    <mergeCell ref="A277:A279"/>
    <mergeCell ref="B277:B279"/>
    <mergeCell ref="C277:C279"/>
    <mergeCell ref="D277:D279"/>
    <mergeCell ref="E277:E279"/>
    <mergeCell ref="A274:A276"/>
    <mergeCell ref="B274:B276"/>
    <mergeCell ref="C274:C276"/>
    <mergeCell ref="D274:D276"/>
    <mergeCell ref="E274:E276"/>
    <mergeCell ref="F274:F276"/>
    <mergeCell ref="F283:F285"/>
    <mergeCell ref="G283:G285"/>
    <mergeCell ref="H283:H285"/>
    <mergeCell ref="I283:I285"/>
    <mergeCell ref="K283:K285"/>
    <mergeCell ref="L283:L285"/>
    <mergeCell ref="G280:G282"/>
    <mergeCell ref="H280:H282"/>
    <mergeCell ref="I280:I282"/>
    <mergeCell ref="K280:K282"/>
    <mergeCell ref="L280:L282"/>
    <mergeCell ref="A283:A285"/>
    <mergeCell ref="B283:B285"/>
    <mergeCell ref="C283:C285"/>
    <mergeCell ref="D283:D285"/>
    <mergeCell ref="E283:E285"/>
    <mergeCell ref="A280:A282"/>
    <mergeCell ref="B280:B282"/>
    <mergeCell ref="C280:C282"/>
    <mergeCell ref="D280:D282"/>
    <mergeCell ref="E280:E282"/>
    <mergeCell ref="F280:F282"/>
    <mergeCell ref="F289:F291"/>
    <mergeCell ref="G289:G291"/>
    <mergeCell ref="H289:H291"/>
    <mergeCell ref="I289:I291"/>
    <mergeCell ref="K289:K291"/>
    <mergeCell ref="L289:L291"/>
    <mergeCell ref="G286:G288"/>
    <mergeCell ref="H286:H288"/>
    <mergeCell ref="I286:I288"/>
    <mergeCell ref="K286:K288"/>
    <mergeCell ref="L286:L288"/>
    <mergeCell ref="A289:A291"/>
    <mergeCell ref="B289:B291"/>
    <mergeCell ref="C289:C291"/>
    <mergeCell ref="D289:D291"/>
    <mergeCell ref="E289:E291"/>
    <mergeCell ref="A286:A288"/>
    <mergeCell ref="B286:B288"/>
    <mergeCell ref="C286:C288"/>
    <mergeCell ref="D286:D288"/>
    <mergeCell ref="E286:E288"/>
    <mergeCell ref="F286:F288"/>
    <mergeCell ref="F295:F297"/>
    <mergeCell ref="G295:G297"/>
    <mergeCell ref="H295:H297"/>
    <mergeCell ref="I295:I297"/>
    <mergeCell ref="K295:K297"/>
    <mergeCell ref="L295:L297"/>
    <mergeCell ref="G292:G294"/>
    <mergeCell ref="H292:H294"/>
    <mergeCell ref="I292:I294"/>
    <mergeCell ref="K292:K294"/>
    <mergeCell ref="L292:L294"/>
    <mergeCell ref="A295:A297"/>
    <mergeCell ref="B295:B297"/>
    <mergeCell ref="C295:C297"/>
    <mergeCell ref="D295:D297"/>
    <mergeCell ref="E295:E297"/>
    <mergeCell ref="A292:A294"/>
    <mergeCell ref="B292:B294"/>
    <mergeCell ref="C292:C294"/>
    <mergeCell ref="D292:D294"/>
    <mergeCell ref="E292:E294"/>
    <mergeCell ref="F292:F294"/>
    <mergeCell ref="F303:F307"/>
    <mergeCell ref="G303:G307"/>
    <mergeCell ref="H303:H307"/>
    <mergeCell ref="I303:I307"/>
    <mergeCell ref="K303:K307"/>
    <mergeCell ref="L303:L307"/>
    <mergeCell ref="G298:G302"/>
    <mergeCell ref="H298:H302"/>
    <mergeCell ref="I298:I302"/>
    <mergeCell ref="K298:K302"/>
    <mergeCell ref="L298:L302"/>
    <mergeCell ref="A303:A307"/>
    <mergeCell ref="B303:B307"/>
    <mergeCell ref="C303:C307"/>
    <mergeCell ref="D303:D307"/>
    <mergeCell ref="E303:E307"/>
    <mergeCell ref="A298:A302"/>
    <mergeCell ref="B298:B302"/>
    <mergeCell ref="C298:C302"/>
    <mergeCell ref="D298:D302"/>
    <mergeCell ref="E298:E302"/>
    <mergeCell ref="F298:F302"/>
    <mergeCell ref="F313:F317"/>
    <mergeCell ref="G313:G317"/>
    <mergeCell ref="H313:H317"/>
    <mergeCell ref="I313:I317"/>
    <mergeCell ref="K313:K317"/>
    <mergeCell ref="L313:L317"/>
    <mergeCell ref="G308:G312"/>
    <mergeCell ref="H308:H312"/>
    <mergeCell ref="I308:I312"/>
    <mergeCell ref="K308:K312"/>
    <mergeCell ref="L308:L312"/>
    <mergeCell ref="A313:A317"/>
    <mergeCell ref="B313:B317"/>
    <mergeCell ref="C313:C317"/>
    <mergeCell ref="D313:D317"/>
    <mergeCell ref="E313:E317"/>
    <mergeCell ref="A308:A312"/>
    <mergeCell ref="B308:B312"/>
    <mergeCell ref="C308:C312"/>
    <mergeCell ref="D308:D312"/>
    <mergeCell ref="E308:E312"/>
    <mergeCell ref="F308:F312"/>
    <mergeCell ref="F323:F327"/>
    <mergeCell ref="G323:G327"/>
    <mergeCell ref="H323:H327"/>
    <mergeCell ref="I323:I327"/>
    <mergeCell ref="K323:K327"/>
    <mergeCell ref="L323:L327"/>
    <mergeCell ref="G318:G322"/>
    <mergeCell ref="H318:H322"/>
    <mergeCell ref="I318:I322"/>
    <mergeCell ref="K318:K322"/>
    <mergeCell ref="L318:L322"/>
    <mergeCell ref="A323:A327"/>
    <mergeCell ref="B323:B327"/>
    <mergeCell ref="C323:C327"/>
    <mergeCell ref="D323:D327"/>
    <mergeCell ref="E323:E327"/>
    <mergeCell ref="A318:A322"/>
    <mergeCell ref="B318:B322"/>
    <mergeCell ref="C318:C322"/>
    <mergeCell ref="D318:D322"/>
    <mergeCell ref="E318:E322"/>
    <mergeCell ref="F318:F322"/>
    <mergeCell ref="F333:F337"/>
    <mergeCell ref="G333:G337"/>
    <mergeCell ref="H333:H337"/>
    <mergeCell ref="I333:I337"/>
    <mergeCell ref="K333:K337"/>
    <mergeCell ref="L333:L337"/>
    <mergeCell ref="G328:G332"/>
    <mergeCell ref="H328:H332"/>
    <mergeCell ref="I328:I332"/>
    <mergeCell ref="K328:K332"/>
    <mergeCell ref="L328:L332"/>
    <mergeCell ref="A333:A337"/>
    <mergeCell ref="B333:B337"/>
    <mergeCell ref="C333:C337"/>
    <mergeCell ref="D333:D337"/>
    <mergeCell ref="E333:E337"/>
    <mergeCell ref="A328:A332"/>
    <mergeCell ref="B328:B332"/>
    <mergeCell ref="C328:C332"/>
    <mergeCell ref="D328:D332"/>
    <mergeCell ref="E328:E332"/>
    <mergeCell ref="F328:F332"/>
    <mergeCell ref="F343:F347"/>
    <mergeCell ref="G343:G347"/>
    <mergeCell ref="H343:H347"/>
    <mergeCell ref="I343:I347"/>
    <mergeCell ref="K343:K347"/>
    <mergeCell ref="L343:L347"/>
    <mergeCell ref="G338:G342"/>
    <mergeCell ref="H338:H342"/>
    <mergeCell ref="I338:I342"/>
    <mergeCell ref="K338:K342"/>
    <mergeCell ref="L338:L342"/>
    <mergeCell ref="A343:A347"/>
    <mergeCell ref="B343:B347"/>
    <mergeCell ref="C343:C347"/>
    <mergeCell ref="D343:D347"/>
    <mergeCell ref="E343:E347"/>
    <mergeCell ref="A338:A342"/>
    <mergeCell ref="B338:B342"/>
    <mergeCell ref="C338:C342"/>
    <mergeCell ref="D338:D342"/>
    <mergeCell ref="E338:E342"/>
    <mergeCell ref="F338:F342"/>
    <mergeCell ref="A364:A365"/>
    <mergeCell ref="B364:B365"/>
    <mergeCell ref="C364:C365"/>
    <mergeCell ref="D364:D365"/>
    <mergeCell ref="E364:E365"/>
    <mergeCell ref="H364:H365"/>
    <mergeCell ref="F353:F357"/>
    <mergeCell ref="G353:G357"/>
    <mergeCell ref="H353:H357"/>
    <mergeCell ref="I353:I357"/>
    <mergeCell ref="K353:K357"/>
    <mergeCell ref="L353:L357"/>
    <mergeCell ref="G348:G352"/>
    <mergeCell ref="H348:H352"/>
    <mergeCell ref="I348:I352"/>
    <mergeCell ref="K348:K352"/>
    <mergeCell ref="L348:L352"/>
    <mergeCell ref="A353:A357"/>
    <mergeCell ref="B353:B357"/>
    <mergeCell ref="C353:C357"/>
    <mergeCell ref="D353:D357"/>
    <mergeCell ref="E353:E357"/>
    <mergeCell ref="A348:A352"/>
    <mergeCell ref="B348:B352"/>
    <mergeCell ref="C348:C352"/>
    <mergeCell ref="D348:D352"/>
    <mergeCell ref="E348:E352"/>
    <mergeCell ref="F348:F352"/>
  </mergeCells>
  <phoneticPr fontId="2" type="noConversion"/>
  <hyperlinks>
    <hyperlink ref="C3" r:id="rId1" display="https://racing.hkjc.com/zh-hk/local/information/horse?horseid=HK_2024_K580" xr:uid="{F69C3592-9BAE-4F32-A439-C60F9BC4FDAC}"/>
    <hyperlink ref="D3" r:id="rId2" display="https://racing.hkjc.com/zh-hk/local/information/jockeyprofile?jockeyid=CJE&amp;Season=Current" xr:uid="{4A3FA7D5-764D-4432-88D4-67C42D090880}"/>
    <hyperlink ref="E3" r:id="rId3" display="https://racing.hkjc.com/zh-hk/local/information/trainerprofile?trainerid=EDJ&amp;Season=Current" xr:uid="{72D46E54-6FF2-4049-873A-85BD6F29A01C}"/>
    <hyperlink ref="C7" r:id="rId4" display="https://racing.hkjc.com/zh-hk/local/information/horse?horseid=HK_2024_K028" xr:uid="{D9F8153A-5EDD-4A5C-9532-7055067FBAE7}"/>
    <hyperlink ref="D7" r:id="rId5" display="https://racing.hkjc.com/zh-hk/local/information/jockeyprofile?jockeyid=PZ&amp;Season=Current" xr:uid="{F465582C-9A9F-40CF-AE56-0AA371B9AF58}"/>
    <hyperlink ref="E7" r:id="rId6" display="https://racing.hkjc.com/zh-hk/local/information/trainerprofile?trainerid=HDA&amp;Season=Current" xr:uid="{C98A03B5-7F6D-441D-BCDD-9133BC596C16}"/>
    <hyperlink ref="C11" r:id="rId7" display="https://racing.hkjc.com/zh-hk/local/information/horse?horseid=HK_2022_H419" xr:uid="{BF956D4E-0F4A-4C35-84F9-D97DB40D1EE7}"/>
    <hyperlink ref="D11" r:id="rId8" display="https://racing.hkjc.com/zh-hk/local/information/jockeyprofile?jockeyid=TEK&amp;Season=Current" xr:uid="{8886AE77-E83B-4EA9-9ED0-BEC60186D2DE}"/>
    <hyperlink ref="E11" r:id="rId9" display="https://racing.hkjc.com/zh-hk/local/information/trainerprofile?trainerid=MWK&amp;Season=Current" xr:uid="{87B8D607-290F-4DB9-85DC-7FBA5978F3FF}"/>
    <hyperlink ref="C15" r:id="rId10" display="https://racing.hkjc.com/zh-hk/local/information/horse?horseid=HK_2022_H293" xr:uid="{C1999AB5-EECD-41E5-A9C8-8FD0A5A8EE86}"/>
    <hyperlink ref="D15" r:id="rId11" display="https://racing.hkjc.com/zh-hk/local/information/jockeyprofile?jockeyid=HEL&amp;Season=Current" xr:uid="{B60BCDD6-0EF6-4D73-8E9E-DD1DAA57FB96}"/>
    <hyperlink ref="E15" r:id="rId12" display="https://racing.hkjc.com/zh-hk/local/information/trainerprofile?trainerid=CBJ&amp;Season=Current" xr:uid="{8EDD8C76-DD48-4540-A4D9-69B3302D7FF3}"/>
    <hyperlink ref="C19" r:id="rId13" display="https://racing.hkjc.com/zh-hk/local/information/horse?horseid=HK_2023_J162" xr:uid="{6D090382-37BA-49FD-ACAD-6C57580C994C}"/>
    <hyperlink ref="D19" r:id="rId14" display="https://racing.hkjc.com/zh-hk/local/information/jockeyprofile?jockeyid=FEL&amp;Season=Current" xr:uid="{202720E2-0182-4601-8D9E-3165964D6D46}"/>
    <hyperlink ref="E19" r:id="rId15" display="https://racing.hkjc.com/zh-hk/local/information/trainerprofile?trainerid=NM&amp;Season=Current" xr:uid="{ED76890E-4B4A-4D9A-A75B-5D6E9079CA33}"/>
    <hyperlink ref="C23" r:id="rId16" display="https://racing.hkjc.com/zh-hk/local/information/horse?horseid=HK_2024_K306" xr:uid="{19A909AA-D6BE-4A57-BC76-D42A3FCFC8FD}"/>
    <hyperlink ref="D23" r:id="rId17" display="https://racing.hkjc.com/zh-hk/local/information/jockeyprofile?jockeyid=HCY&amp;Season=Current" xr:uid="{2931369E-4BB6-4DF2-8DE1-FE600471E64F}"/>
    <hyperlink ref="E23" r:id="rId18" display="https://racing.hkjc.com/zh-hk/local/information/trainerprofile?trainerid=FC&amp;Season=Current" xr:uid="{06E3B3EE-68FE-4995-9ACB-772CBC090A5E}"/>
    <hyperlink ref="C27" r:id="rId19" display="https://racing.hkjc.com/zh-hk/local/information/horse?horseid=HK_2023_J331" xr:uid="{BFEA97F4-9492-4856-95A5-7849095C558C}"/>
    <hyperlink ref="D27" r:id="rId20" display="https://racing.hkjc.com/zh-hk/local/information/jockeyprofile?jockeyid=AA&amp;Season=Current" xr:uid="{9395225F-E2EB-42AE-AA57-C14967F37524}"/>
    <hyperlink ref="E27" r:id="rId21" display="https://racing.hkjc.com/zh-hk/local/information/trainerprofile?trainerid=SJJ&amp;Season=Current" xr:uid="{7D1F6300-A386-41BD-A755-91B94FC15C66}"/>
    <hyperlink ref="C31" r:id="rId22" display="https://racing.hkjc.com/zh-hk/local/information/horse?horseid=HK_2023_J501" xr:uid="{1694F931-AFB8-4856-83CB-70DAA17EBBAF}"/>
    <hyperlink ref="D31" r:id="rId23" display="https://racing.hkjc.com/zh-hk/local/information/jockeyprofile?jockeyid=YML&amp;Season=Current" xr:uid="{DD77BD0A-CCB0-4762-8E53-9E7843CC17AE}"/>
    <hyperlink ref="E31" r:id="rId24" display="https://racing.hkjc.com/zh-hk/local/information/trainerprofile?trainerid=SWY&amp;Season=Current" xr:uid="{4EC3B0D2-778E-4D9F-93DC-3E12601FBF3C}"/>
    <hyperlink ref="C35" r:id="rId25" display="https://racing.hkjc.com/zh-hk/local/information/horse?horseid=HK_2023_J332" xr:uid="{23369953-8FEA-4DEB-9FB6-34669E07CA5E}"/>
    <hyperlink ref="D35" r:id="rId26" display="https://racing.hkjc.com/zh-hk/local/information/jockeyprofile?jockeyid=YHY&amp;Season=Current" xr:uid="{3A5D0EC3-F6B5-4373-9168-183803976AAA}"/>
    <hyperlink ref="E35" r:id="rId27" display="https://racing.hkjc.com/zh-hk/local/information/trainerprofile?trainerid=TYS&amp;Season=Current" xr:uid="{BA70423B-531F-428B-B590-17EEBF59D9BA}"/>
    <hyperlink ref="C39" r:id="rId28" display="https://racing.hkjc.com/zh-hk/local/information/horse?horseid=HK_2023_J395" xr:uid="{9759A403-EDB9-4A88-99B0-7A5725F33F73}"/>
    <hyperlink ref="D39" r:id="rId29" display="https://racing.hkjc.com/zh-hk/local/information/jockeyprofile?jockeyid=LDE&amp;Season=Current" xr:uid="{187E202F-B8FD-4BC2-B540-78342906031A}"/>
    <hyperlink ref="E39" r:id="rId30" display="https://racing.hkjc.com/zh-hk/local/information/trainerprofile?trainerid=WDJ&amp;Season=Current" xr:uid="{CF29FC60-5C05-4C29-8B23-F41CB615EDF5}"/>
    <hyperlink ref="C43" r:id="rId31" display="https://racing.hkjc.com/zh-hk/local/information/horse?horseid=HK_2021_G277" xr:uid="{FB2A71C6-850C-435F-80AA-94C8E5B4B23F}"/>
    <hyperlink ref="D43" r:id="rId32" display="https://racing.hkjc.com/zh-hk/local/information/jockeyprofile?jockeyid=OJM&amp;Season=Current" xr:uid="{F170E292-1D76-48C1-A635-B0E9987F0DB7}"/>
    <hyperlink ref="E43" r:id="rId33" display="https://racing.hkjc.com/zh-hk/local/information/trainerprofile?trainerid=RW&amp;Season=Current" xr:uid="{E85950A7-0CBC-43E6-9F17-207B8680D226}"/>
    <hyperlink ref="C47" r:id="rId34" display="https://racing.hkjc.com/zh-hk/local/information/horse?horseid=HK_2024_K336" xr:uid="{E231A38E-E1C4-4976-8107-0D8838556173}"/>
    <hyperlink ref="D47" r:id="rId35" display="https://racing.hkjc.com/zh-hk/local/information/jockeyprofile?jockeyid=KRW&amp;Season=Current" xr:uid="{6A2131A6-4CAF-4EDC-8138-121C7287BFFF}"/>
    <hyperlink ref="E47" r:id="rId36" display="https://racing.hkjc.com/zh-hk/local/information/trainerprofile?trainerid=TKH&amp;Season=Current" xr:uid="{1346D910-22B1-4921-A439-46D5B091F642}"/>
    <hyperlink ref="C53" r:id="rId37" display="https://racing.hkjc.com/zh-hk/local/information/horse?horseid=HK_2023_J362" xr:uid="{C1F8E628-5E7D-4872-B6FE-8AAD1149FEE0}"/>
    <hyperlink ref="D53" r:id="rId38" display="https://racing.hkjc.com/zh-hk/local/information/jockeyprofile?jockeyid=PZ&amp;Season=Current" xr:uid="{3B5646AB-B3DB-4C64-8078-4F8FFFA5B1B4}"/>
    <hyperlink ref="E53" r:id="rId39" display="https://racing.hkjc.com/zh-hk/local/information/trainerprofile?trainerid=HAD&amp;Season=Current" xr:uid="{BA52F5D6-7ECF-4F4F-9EC2-CACBD02379BF}"/>
    <hyperlink ref="A56" r:id="rId40" display="https://racing.hkjc.com/zh-hk/local/info/finishphoto?path=//consvc.hkjc.com/-/media/Sites/JCRW/FinishPhotos/26_27/20260923/20260923R02_P2.jpg" xr:uid="{5BEDCD3B-6751-4C8D-8BDB-DE78D42C019C}"/>
    <hyperlink ref="C56" r:id="rId41" display="https://racing.hkjc.com/zh-hk/local/information/horse?horseid=HK_2024_K271" xr:uid="{F71C2C50-D97C-4175-9F2B-6E086A1F6D2F}"/>
    <hyperlink ref="D56" r:id="rId42" display="https://racing.hkjc.com/zh-hk/local/information/jockeyprofile?jockeyid=HEL&amp;Season=Current" xr:uid="{F2F7E6A0-E8CF-4368-8026-A35469F87CB2}"/>
    <hyperlink ref="E56" r:id="rId43" display="https://racing.hkjc.com/zh-hk/local/information/trainerprofile?trainerid=SCS&amp;Season=Current" xr:uid="{1EF33A96-7EB8-4E40-8D6A-838340D65382}"/>
    <hyperlink ref="A59" r:id="rId44" display="https://racing.hkjc.com/zh-hk/local/info/finishphoto?path=//consvc.hkjc.com/-/media/Sites/JCRW/FinishPhotos/26_27/20260923/20260923R02_P3.jpg" xr:uid="{C63A9F28-EB37-45D4-AB0D-B94BA04C103C}"/>
    <hyperlink ref="C59" r:id="rId45" display="https://racing.hkjc.com/zh-hk/local/information/horse?horseid=HK_2025_L325" xr:uid="{75AD79F0-1E34-43D5-A91A-6B80D1E1D64E}"/>
    <hyperlink ref="D59" r:id="rId46" display="https://racing.hkjc.com/zh-hk/local/information/jockeyprofile?jockeyid=AVB&amp;Season=Current" xr:uid="{82BFDC96-E710-4071-BC4A-4FC3AD4CD2A2}"/>
    <hyperlink ref="E59" r:id="rId47" display="https://racing.hkjc.com/zh-hk/local/information/trainerprofile?trainerid=SJJ&amp;Season=Current" xr:uid="{2A29241A-9B29-47BA-93C8-A8BEFCE75F6B}"/>
    <hyperlink ref="C62" r:id="rId48" display="https://racing.hkjc.com/zh-hk/local/information/horse?horseid=HK_2024_K016" xr:uid="{7C8EE484-4F5D-43D6-AECC-97D0BFCFA38C}"/>
    <hyperlink ref="D62" r:id="rId49" display="https://racing.hkjc.com/zh-hk/local/information/jockeyprofile?jockeyid=CCY&amp;Season=Current" xr:uid="{191DF16B-C8CC-4A54-8D78-8B3ABC4DBB3E}"/>
    <hyperlink ref="E62" r:id="rId50" display="https://racing.hkjc.com/zh-hk/local/information/trainerprofile?trainerid=CAS&amp;Season=Current" xr:uid="{B532C05D-0711-4D07-93C8-A5F3ABFE51EA}"/>
    <hyperlink ref="C65" r:id="rId51" display="https://racing.hkjc.com/zh-hk/local/information/horse?horseid=HK_2024_K189" xr:uid="{C1F6989E-8B6E-47B7-AF90-3BFCE84D33F7}"/>
    <hyperlink ref="D65" r:id="rId52" display="https://racing.hkjc.com/zh-hk/local/information/jockeyprofile?jockeyid=BHW&amp;Season=Current" xr:uid="{8CAFA77B-B7B5-4A98-96B9-2212F4E17A4C}"/>
    <hyperlink ref="E65" r:id="rId53" display="https://racing.hkjc.com/zh-hk/local/information/trainerprofile?trainerid=EDJ&amp;Season=Current" xr:uid="{2A790959-434D-4B4C-9DB1-759E16DB41CF}"/>
    <hyperlink ref="C68" r:id="rId54" display="https://racing.hkjc.com/zh-hk/local/information/horse?horseid=HK_2024_K320" xr:uid="{B95024D4-1814-47CD-BE88-218091B8908B}"/>
    <hyperlink ref="D68" r:id="rId55" display="https://racing.hkjc.com/zh-hk/local/information/jockeyprofile?jockeyid=PMF&amp;Season=Current" xr:uid="{B3E1836A-6289-439E-8413-1D2B4BCFCF3D}"/>
    <hyperlink ref="E68" r:id="rId56" display="https://racing.hkjc.com/zh-hk/local/information/trainerprofile?trainerid=YPF&amp;Season=Current" xr:uid="{CAA6CA5D-802E-4D50-8B57-2E164C3F2C4D}"/>
    <hyperlink ref="C71" r:id="rId57" display="https://racing.hkjc.com/zh-hk/local/information/horse?horseid=HK_2022_H110" xr:uid="{84FA8805-7EF6-4E50-9617-C3C3895118DC}"/>
    <hyperlink ref="D71" r:id="rId58" display="https://racing.hkjc.com/zh-hk/local/information/jockeyprofile?jockeyid=YML&amp;Season=Current" xr:uid="{316FE0AB-DE72-4994-850B-E5052EF61543}"/>
    <hyperlink ref="E71" r:id="rId59" display="https://racing.hkjc.com/zh-hk/local/information/trainerprofile?trainerid=WDJ&amp;Season=Current" xr:uid="{7D44F940-121E-418F-8793-8FBA158BE766}"/>
    <hyperlink ref="C74" r:id="rId60" display="https://racing.hkjc.com/zh-hk/local/information/horse?horseid=HK_2024_K315" xr:uid="{A0326504-9DA7-44F5-99FD-37B104AF250D}"/>
    <hyperlink ref="D74" r:id="rId61" display="https://racing.hkjc.com/zh-hk/local/information/jockeyprofile?jockeyid=TEK&amp;Season=Current" xr:uid="{66093DD4-699A-4175-B0EB-4CC6D71E61C0}"/>
    <hyperlink ref="E74" r:id="rId62" display="https://racing.hkjc.com/zh-hk/local/information/trainerprofile?trainerid=LFC&amp;Season=Current" xr:uid="{55D11590-965B-419A-BBC4-B5D8CF85324A}"/>
    <hyperlink ref="C77" r:id="rId63" display="https://racing.hkjc.com/zh-hk/local/information/horse?horseid=HK_2025_L284" xr:uid="{014A2FA4-E790-41B0-87F7-71308BE66B11}"/>
    <hyperlink ref="D77" r:id="rId64" display="https://racing.hkjc.com/zh-hk/local/information/jockeyprofile?jockeyid=CML&amp;Season=Current" xr:uid="{44962F32-9546-494F-85A3-50D198733F56}"/>
    <hyperlink ref="E77" r:id="rId65" display="https://racing.hkjc.com/zh-hk/local/information/trainerprofile?trainerid=TYS&amp;Season=Current" xr:uid="{745239E3-DC2E-4DD3-AFA8-61B1CC381F75}"/>
    <hyperlink ref="C80" r:id="rId66" display="https://racing.hkjc.com/zh-hk/local/information/horse?horseid=HK_2025_L133" xr:uid="{38D892B8-084D-4F91-B08A-EB5096233907}"/>
    <hyperlink ref="D80" r:id="rId67" display="https://racing.hkjc.com/zh-hk/local/information/jockeyprofile?jockeyid=AA&amp;Season=Current" xr:uid="{4F6A52AA-AC98-477B-85F4-5AD436119843}"/>
    <hyperlink ref="E80" r:id="rId68" display="https://racing.hkjc.com/zh-hk/local/information/trainerprofile?trainerid=RW&amp;Season=Current" xr:uid="{42281236-79F8-4A53-8C4E-5904DA0A9729}"/>
    <hyperlink ref="C83" r:id="rId69" display="https://racing.hkjc.com/zh-hk/local/information/horse?horseid=HK_2025_L353" xr:uid="{10EAA1F8-8502-4F85-8BB3-D94374A15484}"/>
    <hyperlink ref="D83" r:id="rId70" display="https://racing.hkjc.com/zh-hk/local/information/jockeyprofile?jockeyid=KRW&amp;Season=Current" xr:uid="{53AC25E0-AF27-4FF6-B295-CF8A2277B906}"/>
    <hyperlink ref="E83" r:id="rId71" display="https://racing.hkjc.com/zh-hk/local/information/trainerprofile?trainerid=HDA&amp;Season=Current" xr:uid="{5B259965-8049-42A5-B348-3A6C9A1DAD1E}"/>
    <hyperlink ref="C86" r:id="rId72" display="https://racing.hkjc.com/zh-hk/local/information/horse?horseid=HK_2023_J043" xr:uid="{D34FF9ED-1E3E-4F2C-96BC-F8C37344B879}"/>
    <hyperlink ref="D86" r:id="rId73" display="https://racing.hkjc.com/zh-hk/local/information/jockeyprofile?jockeyid=WEC&amp;Season=Current" xr:uid="{FF138806-49DE-4ABC-B4C1-4AACA3742311}"/>
    <hyperlink ref="E86" r:id="rId74" display="https://racing.hkjc.com/zh-hk/local/information/trainerprofile?trainerid=FC&amp;Season=Current" xr:uid="{6896B3D4-7FFC-4183-A094-36F1A4FBFD3A}"/>
    <hyperlink ref="C91" r:id="rId75" display="https://racing.hkjc.com/zh-hk/local/information/horse?horseid=HK_2025_L031" xr:uid="{DD537652-5345-42B7-B978-91E96A586562}"/>
    <hyperlink ref="D91" r:id="rId76" display="https://racing.hkjc.com/zh-hk/local/information/jockeyprofile?jockeyid=CJE&amp;Season=Current" xr:uid="{565C6926-B84F-4F07-BD59-CAEA753738DA}"/>
    <hyperlink ref="E91" r:id="rId77" display="https://racing.hkjc.com/zh-hk/local/information/trainerprofile?trainerid=EDJ&amp;Season=Current" xr:uid="{ADF1A8C8-DEB3-4B5A-B2A7-2694AACEA85A}"/>
    <hyperlink ref="A95" r:id="rId78" display="https://racing.hkjc.com/zh-hk/local/info/finishphoto?path=//consvc.hkjc.com/-/media/Sites/JCRW/FinishPhotos/26_27/20260923/20260923R03_P2.jpg" xr:uid="{AA73D52A-5719-4E62-950C-504309078C03}"/>
    <hyperlink ref="C95" r:id="rId79" display="https://racing.hkjc.com/zh-hk/local/information/horse?horseid=HK_2025_L039" xr:uid="{AD90AF44-377F-42D4-9191-05C1FD74A034}"/>
    <hyperlink ref="D95" r:id="rId80" display="https://racing.hkjc.com/zh-hk/local/information/jockeyprofile?jockeyid=PZ&amp;Season=Current" xr:uid="{9C8B377C-579F-4D70-A855-A6334A4E08F5}"/>
    <hyperlink ref="E95" r:id="rId81" display="https://racing.hkjc.com/zh-hk/local/information/trainerprofile?trainerid=MWK&amp;Season=Current" xr:uid="{BFDD7034-17A1-4B24-9DA8-CABAC361889C}"/>
    <hyperlink ref="C99" r:id="rId82" display="https://racing.hkjc.com/zh-hk/local/information/horse?horseid=HK_2021_G125" xr:uid="{75868A6A-4F21-4A9A-AED7-9682E8002010}"/>
    <hyperlink ref="D99" r:id="rId83" display="https://racing.hkjc.com/zh-hk/local/information/jockeyprofile?jockeyid=TEK&amp;Season=Current" xr:uid="{7F71BBBB-5BD3-468B-909C-BF0C5C883C58}"/>
    <hyperlink ref="E99" r:id="rId84" display="https://racing.hkjc.com/zh-hk/local/information/trainerprofile?trainerid=YPF&amp;Season=Current" xr:uid="{091018FD-97E2-4920-8345-F60998F69A34}"/>
    <hyperlink ref="A103" r:id="rId85" display="https://racing.hkjc.com/zh-hk/local/info/finishphoto?path=//consvc.hkjc.com/-/media/Sites/JCRW/FinishPhotos/26_27/20260923/20260923R03_P4.jpg" xr:uid="{57CD4718-C486-4594-8FE0-F13FC2526E1B}"/>
    <hyperlink ref="C103" r:id="rId86" display="https://racing.hkjc.com/zh-hk/local/information/horse?horseid=HK_2025_L267" xr:uid="{345D5879-97D5-47B3-B7E2-25F914F49AC5}"/>
    <hyperlink ref="D103" r:id="rId87" display="https://racing.hkjc.com/zh-hk/local/information/jockeyprofile?jockeyid=HEL&amp;Season=Current" xr:uid="{653BB54D-ACFC-46E5-86A2-CA281E8538B6}"/>
    <hyperlink ref="E103" r:id="rId88" display="https://racing.hkjc.com/zh-hk/local/information/trainerprofile?trainerid=SCS&amp;Season=Current" xr:uid="{6E49EC4C-32BD-4C64-9BF9-C46D92B8756F}"/>
    <hyperlink ref="C107" r:id="rId89" display="https://racing.hkjc.com/zh-hk/local/information/horse?horseid=HK_2024_K416" xr:uid="{8A2435BA-FC53-48DE-9B7F-95DF732F71C1}"/>
    <hyperlink ref="D107" r:id="rId90" display="https://racing.hkjc.com/zh-hk/local/information/jockeyprofile?jockeyid=WEC&amp;Season=Current" xr:uid="{0384C5AB-D5C5-4FAC-9137-4F161C785F51}"/>
    <hyperlink ref="E107" r:id="rId91" display="https://racing.hkjc.com/zh-hk/local/information/trainerprofile?trainerid=FC&amp;Season=Current" xr:uid="{A9633455-01BE-45C0-A6F8-37C9F5A6437D}"/>
    <hyperlink ref="C111" r:id="rId92" display="https://racing.hkjc.com/zh-hk/local/information/horse?horseid=HK_2024_K444" xr:uid="{38BF5F2C-6304-444B-A6BC-91B9DC96DFBD}"/>
    <hyperlink ref="D111" r:id="rId93" display="https://racing.hkjc.com/zh-hk/local/information/jockeyprofile?jockeyid=OJM&amp;Season=Current" xr:uid="{EA7F527D-6AC5-4153-96C8-84093FE1237E}"/>
    <hyperlink ref="E111" r:id="rId94" display="https://racing.hkjc.com/zh-hk/local/information/trainerprofile?trainerid=HDA&amp;Season=Current" xr:uid="{1C3A64E1-C9D8-4647-AEED-3F0FF73FDD26}"/>
    <hyperlink ref="C115" r:id="rId95" display="https://racing.hkjc.com/zh-hk/local/information/horse?horseid=HK_2023_J494" xr:uid="{0DA17BE3-901A-42F2-B96B-68167C742CC2}"/>
    <hyperlink ref="D115" r:id="rId96" display="https://racing.hkjc.com/zh-hk/local/information/jockeyprofile?jockeyid=FEL&amp;Season=Current" xr:uid="{2F02F352-23FF-4DEB-AC6F-073E75129379}"/>
    <hyperlink ref="E115" r:id="rId97" display="https://racing.hkjc.com/zh-hk/local/information/trainerprofile?trainerid=NM&amp;Season=Current" xr:uid="{3F9865B7-2D66-40D3-A40D-068E4E3736CE}"/>
    <hyperlink ref="C119" r:id="rId98" display="https://racing.hkjc.com/zh-hk/local/information/horse?horseid=HK_2025_L044" xr:uid="{C55B4441-A11A-498B-8999-6BCBC955A3BE}"/>
    <hyperlink ref="D119" r:id="rId99" display="https://racing.hkjc.com/zh-hk/local/information/jockeyprofile?jockeyid=AVB&amp;Season=Current" xr:uid="{D84323FE-FF93-46DD-92E6-267D1A14C593}"/>
    <hyperlink ref="E119" r:id="rId100" display="https://racing.hkjc.com/zh-hk/local/information/trainerprofile?trainerid=RW&amp;Season=Current" xr:uid="{84D8C836-3CB8-420D-A136-AD8729D4A815}"/>
    <hyperlink ref="C123" r:id="rId101" display="https://racing.hkjc.com/zh-hk/local/information/horse?horseid=HK_2023_J131" xr:uid="{B6C052D8-192E-414E-9D85-0B0EE8AC4CE9}"/>
    <hyperlink ref="D123" r:id="rId102" display="https://racing.hkjc.com/zh-hk/local/information/jockeyprofile?jockeyid=AA&amp;Season=Current" xr:uid="{734EE5F1-18AE-4697-88B9-893DA04BA624}"/>
    <hyperlink ref="E123" r:id="rId103" display="https://racing.hkjc.com/zh-hk/local/information/trainerprofile?trainerid=CAS&amp;Season=Current" xr:uid="{0226C875-22C3-4829-864C-949C69C06927}"/>
    <hyperlink ref="C127" r:id="rId104" display="https://racing.hkjc.com/zh-hk/local/information/horse?horseid=HK_2024_K145" xr:uid="{3DA0606E-CE56-409C-B267-2DE80DC4B3B7}"/>
    <hyperlink ref="D127" r:id="rId105" display="https://racing.hkjc.com/zh-hk/local/information/jockeyprofile?jockeyid=HCY&amp;Season=Current" xr:uid="{1F318540-DF0B-43B0-9E2B-EB2E1D6D8467}"/>
    <hyperlink ref="E127" r:id="rId106" display="https://racing.hkjc.com/zh-hk/local/information/trainerprofile?trainerid=LKW&amp;Season=Current" xr:uid="{67E5B8EC-4E3B-4535-966B-F7432FBDF1FA}"/>
    <hyperlink ref="C131" r:id="rId107" display="https://racing.hkjc.com/zh-hk/local/information/horse?horseid=HK_2025_L079" xr:uid="{E1512181-3B16-464E-BA94-2C85CF987D69}"/>
    <hyperlink ref="D131" r:id="rId108" display="https://racing.hkjc.com/zh-hk/local/information/jockeyprofile?jockeyid=LDE&amp;Season=Current" xr:uid="{3C50FF7A-1BC9-4ED6-B47E-3BAFFFA3E2AC}"/>
    <hyperlink ref="E131" r:id="rId109" display="https://racing.hkjc.com/zh-hk/local/information/trainerprofile?trainerid=LFC&amp;Season=Current" xr:uid="{2C8AF4F3-DD06-49D8-AE5D-FE3A6B304B0F}"/>
    <hyperlink ref="C135" r:id="rId110" display="https://racing.hkjc.com/zh-hk/local/information/horse?horseid=HK_2023_J215" xr:uid="{286928AE-055E-409F-95D5-3C7E656E4530}"/>
    <hyperlink ref="D135" r:id="rId111" display="https://racing.hkjc.com/zh-hk/local/information/jockeyprofile?jockeyid=BHW&amp;Season=Current" xr:uid="{B4EE400E-6FFD-44BE-9CD8-74EED3F05C42}"/>
    <hyperlink ref="E135" r:id="rId112" display="https://racing.hkjc.com/zh-hk/local/information/trainerprofile?trainerid=YCH&amp;Season=Current" xr:uid="{6210FAEA-DCFD-4215-BB92-2F15CE78E84B}"/>
    <hyperlink ref="C139" r:id="rId113" display="https://racing.hkjc.com/zh-hk/local/information/horse?horseid=HK_2024_K490" xr:uid="{A537C3F4-B34B-4E5B-9856-EA0337A00254}"/>
    <hyperlink ref="D139" r:id="rId114" display="https://racing.hkjc.com/zh-hk/local/information/jockeyprofile?jockeyid=YML&amp;Season=Current" xr:uid="{709C2FB2-0F38-41E5-8BAB-EACB2B222657}"/>
    <hyperlink ref="E139" r:id="rId115" display="https://racing.hkjc.com/zh-hk/local/information/trainerprofile?trainerid=WDJ&amp;Season=Current" xr:uid="{B742FDFF-6C09-421F-817E-7B446E7C9833}"/>
    <hyperlink ref="A142" r:id="rId116" display="https://racing.hkjc.com/zh-hk/local/info/finishphoto?path=//consvc.hkjc.com/-/media/Sites/JCRW/FinishPhotos/26_27/20260923/20260923R04_P1.jpg" xr:uid="{EF8F655A-BD05-4AB7-B6FD-FAF6BCA872BE}"/>
    <hyperlink ref="C142" r:id="rId117" display="https://racing.hkjc.com/zh-hk/local/information/horse?horseid=HK_2024_K325" xr:uid="{3FD1F724-1795-4927-A5E6-B0B2243DC232}"/>
    <hyperlink ref="D142" r:id="rId118" display="https://racing.hkjc.com/zh-hk/local/information/jockeyprofile?jockeyid=AVB&amp;Season=Current" xr:uid="{B29ED413-0FE4-412C-808F-98256007B8FB}"/>
    <hyperlink ref="E142" r:id="rId119" display="https://racing.hkjc.com/zh-hk/local/information/trainerprofile?trainerid=HAD&amp;Season=Current" xr:uid="{3C834EDC-F577-43D5-BB22-061F3DC13911}"/>
    <hyperlink ref="C145" r:id="rId120" display="https://racing.hkjc.com/zh-hk/local/information/horse?horseid=HK_2025_L050" xr:uid="{D35BB4B6-74F3-4727-B68D-7B061A4496A0}"/>
    <hyperlink ref="D145" r:id="rId121" display="https://racing.hkjc.com/zh-hk/local/information/jockeyprofile?jockeyid=PZ&amp;Season=Current" xr:uid="{7DDAEB07-F7A6-4B0D-97AA-807B148D2D67}"/>
    <hyperlink ref="E145" r:id="rId122" display="https://racing.hkjc.com/zh-hk/local/information/trainerprofile?trainerid=NM&amp;Season=Current" xr:uid="{BC4C3711-CF38-42A5-B05E-FCA3DB487B26}"/>
    <hyperlink ref="C148" r:id="rId123" display="https://racing.hkjc.com/zh-hk/local/information/horse?horseid=HK_2024_K202" xr:uid="{06D3B3BD-1FCF-477D-87EC-36ADD8A5BCF8}"/>
    <hyperlink ref="D148" r:id="rId124" display="https://racing.hkjc.com/zh-hk/local/information/jockeyprofile?jockeyid=CJE&amp;Season=Current" xr:uid="{7CAAD3EB-8252-4C8D-958A-29EBC5001B5D}"/>
    <hyperlink ref="E148" r:id="rId125" display="https://racing.hkjc.com/zh-hk/local/information/trainerprofile?trainerid=MWK&amp;Season=Current" xr:uid="{26BE86BD-BB38-4433-BAC6-6A78E4F07888}"/>
    <hyperlink ref="C151" r:id="rId126" display="https://racing.hkjc.com/zh-hk/local/information/horse?horseid=HK_2025_L277" xr:uid="{C56DBBDF-BFF3-455C-9051-2A5647DDDED5}"/>
    <hyperlink ref="D151" r:id="rId127" display="https://racing.hkjc.com/zh-hk/local/information/jockeyprofile?jockeyid=OJM&amp;Season=Current" xr:uid="{36B18784-7DBA-4A50-B775-FCEB638572B7}"/>
    <hyperlink ref="E151" r:id="rId128" display="https://racing.hkjc.com/zh-hk/local/information/trainerprofile?trainerid=WDJ&amp;Season=Current" xr:uid="{CB99E5AE-91E8-468E-A014-2A9A86312EC6}"/>
    <hyperlink ref="C154" r:id="rId129" display="https://racing.hkjc.com/zh-hk/local/information/horse?horseid=HK_2025_L115" xr:uid="{D6326D83-5BB9-4650-AC5B-E9F3E0F0281B}"/>
    <hyperlink ref="D154" r:id="rId130" display="https://racing.hkjc.com/zh-hk/local/information/jockeyprofile?jockeyid=WEC&amp;Season=Current" xr:uid="{E3406291-4594-44E2-A64B-F721E6B26D70}"/>
    <hyperlink ref="E154" r:id="rId131" display="https://racing.hkjc.com/zh-hk/local/information/trainerprofile?trainerid=SCS&amp;Season=Current" xr:uid="{3360CBFB-49AF-4FE0-B4A2-BF376F67E209}"/>
    <hyperlink ref="C157" r:id="rId132" display="https://racing.hkjc.com/zh-hk/local/information/horse?horseid=HK_2024_K229" xr:uid="{43226475-CCE7-4AB1-92D5-C723CD025668}"/>
    <hyperlink ref="D157" r:id="rId133" display="https://racing.hkjc.com/zh-hk/local/information/jockeyprofile?jockeyid=YML&amp;Season=Current" xr:uid="{2F1AC1C7-4207-47AF-9F86-037B183B2A5F}"/>
    <hyperlink ref="E157" r:id="rId134" display="https://racing.hkjc.com/zh-hk/local/information/trainerprofile?trainerid=CCW&amp;Season=Current" xr:uid="{6808A8CE-E6DA-4484-8B4F-B7D04D80BBFB}"/>
    <hyperlink ref="C160" r:id="rId135" display="https://racing.hkjc.com/zh-hk/local/information/horse?horseid=HK_2022_H173" xr:uid="{50E2D991-47C0-4465-B109-3C723D00AE7E}"/>
    <hyperlink ref="D160" r:id="rId136" display="https://racing.hkjc.com/zh-hk/local/information/jockeyprofile?jockeyid=TEK&amp;Season=Current" xr:uid="{3C4A5404-67AF-4037-93D3-7F074FC70CFF}"/>
    <hyperlink ref="E160" r:id="rId137" display="https://racing.hkjc.com/zh-hk/local/information/trainerprofile?trainerid=EDJ&amp;Season=Current" xr:uid="{A3D4F465-F389-4696-8915-69BE99558B08}"/>
    <hyperlink ref="C163" r:id="rId138" display="https://racing.hkjc.com/zh-hk/local/information/horse?horseid=HK_2025_L051" xr:uid="{DE5B5695-5DD0-41F9-9C66-93769E66A1F8}"/>
    <hyperlink ref="D163" r:id="rId139" display="https://racing.hkjc.com/zh-hk/local/information/jockeyprofile?jockeyid=HEL&amp;Season=Current" xr:uid="{B4D33D4C-F1A8-4051-BEFA-66FE5B7FEAAB}"/>
    <hyperlink ref="E163" r:id="rId140" display="https://racing.hkjc.com/zh-hk/local/information/trainerprofile?trainerid=LKW&amp;Season=Current" xr:uid="{6AA6368B-0342-4A7F-B7F9-54AD99EB3303}"/>
    <hyperlink ref="C166" r:id="rId141" display="https://racing.hkjc.com/zh-hk/local/information/horse?horseid=HK_2025_L249" xr:uid="{18EBC87C-5235-4A35-93F3-B457F9AFAC83}"/>
    <hyperlink ref="D166" r:id="rId142" display="https://racing.hkjc.com/zh-hk/local/information/jockeyprofile?jockeyid=CML&amp;Season=Current" xr:uid="{1D6D24E3-BBCC-485E-B738-3A95AD51522A}"/>
    <hyperlink ref="E166" r:id="rId143" display="https://racing.hkjc.com/zh-hk/local/information/trainerprofile?trainerid=SWY&amp;Season=Current" xr:uid="{D48D6FA3-1AA3-424E-BF7F-70AA86F4FC3B}"/>
    <hyperlink ref="C169" r:id="rId144" display="https://racing.hkjc.com/zh-hk/local/information/horse?horseid=HK_2024_K407" xr:uid="{480EB1CE-F1C2-4C7B-B268-DC2414195A32}"/>
    <hyperlink ref="D169" r:id="rId145" display="https://racing.hkjc.com/zh-hk/local/information/jockeyprofile?jockeyid=PMF&amp;Season=Current" xr:uid="{40F4381D-6CB2-4805-BC12-2E08C5E02ABC}"/>
    <hyperlink ref="E169" r:id="rId146" display="https://racing.hkjc.com/zh-hk/local/information/trainerprofile?trainerid=TKH&amp;Season=Current" xr:uid="{2F46E1D5-5257-4DA8-8526-A064C374C4D3}"/>
    <hyperlink ref="C172" r:id="rId147" display="https://racing.hkjc.com/zh-hk/local/information/horse?horseid=HK_2025_L083" xr:uid="{368EF960-0FD9-4596-9086-82AB35DC87EA}"/>
    <hyperlink ref="D172" r:id="rId148" display="https://racing.hkjc.com/zh-hk/local/information/jockeyprofile?jockeyid=YHY&amp;Season=Current" xr:uid="{4493D1A2-D58B-40AF-8D68-18FFF822DCB7}"/>
    <hyperlink ref="E172" r:id="rId149" display="https://racing.hkjc.com/zh-hk/local/information/trainerprofile?trainerid=NPC&amp;Season=Current" xr:uid="{6CCE8286-4F48-471F-8860-B98F1FCAFA8B}"/>
    <hyperlink ref="C173" r:id="rId150" display="https://racing.hkjc.com/zh-hk/local/information/horse?horseid=HK_2025_L420" xr:uid="{0589ED59-89D8-495F-93DF-3587ECC87294}"/>
    <hyperlink ref="D173" r:id="rId151" display="https://racing.hkjc.com/zh-hk/local/information/jockeyprofile?jockeyid=AA&amp;Season=Current" xr:uid="{7443FA39-F3AB-4D40-9F5B-991768741431}"/>
    <hyperlink ref="E173" r:id="rId152" display="https://racing.hkjc.com/zh-hk/local/information/trainerprofile?trainerid=SJJ&amp;Season=Current" xr:uid="{1B60EC85-6A59-4B80-A1B9-3991504E91B7}"/>
    <hyperlink ref="C176" r:id="rId153" display="https://racing.hkjc.com/zh-hk/local/information/horse?horseid=HK_2025_L202" xr:uid="{6E3D4048-6CD3-4C32-8D17-36901ED70BFF}"/>
    <hyperlink ref="D176" r:id="rId154" display="https://racing.hkjc.com/zh-hk/local/information/jockeyprofile?jockeyid=LDE&amp;Season=Current" xr:uid="{D8DF64FB-EC42-4D70-A3D4-C90677ACDE98}"/>
    <hyperlink ref="E176" r:id="rId155" display="https://racing.hkjc.com/zh-hk/local/information/trainerprofile?trainerid=RW&amp;Season=Current" xr:uid="{D8226002-8BE1-45E0-9305-8F5CF60FAD7E}"/>
    <hyperlink ref="C180" r:id="rId156" display="https://racing.hkjc.com/zh-hk/local/information/horse?horseid=HK_2024_K253" xr:uid="{DEA4408B-7421-4E4D-8326-A4047C4F9A4C}"/>
    <hyperlink ref="D180" r:id="rId157" display="https://racing.hkjc.com/zh-hk/local/information/jockeyprofile?jockeyid=CML&amp;Season=Current" xr:uid="{C8BB0B9B-2B1B-43FF-869A-E1E6D742DB10}"/>
    <hyperlink ref="E180" r:id="rId158" display="https://racing.hkjc.com/zh-hk/local/information/trainerprofile?trainerid=LKW&amp;Season=Current" xr:uid="{EC9F5DA3-8751-4FAF-AB9F-D0FBB570162C}"/>
    <hyperlink ref="A184" r:id="rId159" display="https://racing.hkjc.com/zh-hk/local/info/finishphoto?path=//consvc.hkjc.com/-/media/Sites/JCRW/FinishPhotos/26_27/20260923/20260923R05_P3.jpg" xr:uid="{5C07B71B-86CC-4D56-940D-2BD4F29D051B}"/>
    <hyperlink ref="C184" r:id="rId160" display="https://racing.hkjc.com/zh-hk/local/information/horse?horseid=HK_2023_J137" xr:uid="{4B5B2C14-3E97-4F7E-AB9C-52B1300AF32E}"/>
    <hyperlink ref="D184" r:id="rId161" display="https://racing.hkjc.com/zh-hk/local/information/jockeyprofile?jockeyid=HCY&amp;Season=Current" xr:uid="{D611A4EB-DEB3-4CEC-A96B-9932F3793828}"/>
    <hyperlink ref="E184" r:id="rId162" display="https://racing.hkjc.com/zh-hk/local/information/trainerprofile?trainerid=LFC&amp;Season=Current" xr:uid="{A550AA15-D745-4430-B50D-4BE8053BC603}"/>
    <hyperlink ref="C188" r:id="rId163" display="https://racing.hkjc.com/zh-hk/local/information/horse?horseid=HK_2024_K397" xr:uid="{41401728-7B49-4C89-8469-932CA96BE440}"/>
    <hyperlink ref="D188" r:id="rId164" display="https://racing.hkjc.com/zh-hk/local/information/jockeyprofile?jockeyid=PMF&amp;Season=Current" xr:uid="{D36996B5-07C2-49E4-AE65-B77B06C58703}"/>
    <hyperlink ref="E188" r:id="rId165" display="https://racing.hkjc.com/zh-hk/local/information/trainerprofile?trainerid=HAD&amp;Season=Current" xr:uid="{A1ED023E-80B6-42AC-A09F-0A0096B1889C}"/>
    <hyperlink ref="C192" r:id="rId166" display="https://racing.hkjc.com/zh-hk/local/information/horse?horseid=HK_2023_J398" xr:uid="{D2D8B1A4-308E-4D62-AD8E-7E081425B189}"/>
    <hyperlink ref="D192" r:id="rId167" display="https://racing.hkjc.com/zh-hk/local/information/jockeyprofile?jockeyid=WEC&amp;Season=Current" xr:uid="{FC22205A-5B49-4458-BE01-1DC385B095F4}"/>
    <hyperlink ref="E192" r:id="rId168" display="https://racing.hkjc.com/zh-hk/local/information/trainerprofile?trainerid=NPC&amp;Season=Current" xr:uid="{AF2BEF75-C8E8-4192-8B0A-1E27DC8A17BE}"/>
    <hyperlink ref="C196" r:id="rId169" display="https://racing.hkjc.com/zh-hk/local/information/horse?horseid=HK_2024_K319" xr:uid="{BCB10CD5-8D11-4FB2-A20D-5ED0B721EE08}"/>
    <hyperlink ref="D196" r:id="rId170" display="https://racing.hkjc.com/zh-hk/local/information/jockeyprofile?jockeyid=CJE&amp;Season=Current" xr:uid="{D4F4AC9B-7266-42D7-82D4-ED191F94560E}"/>
    <hyperlink ref="E196" r:id="rId171" display="https://racing.hkjc.com/zh-hk/local/information/trainerprofile?trainerid=EDJ&amp;Season=Current" xr:uid="{AFAB068D-597E-41CF-8007-7FF12052AC64}"/>
    <hyperlink ref="C200" r:id="rId172" display="https://racing.hkjc.com/zh-hk/local/information/horse?horseid=HK_2025_L093" xr:uid="{69DC9929-31BD-46A4-AA0E-8C71ACB4FE41}"/>
    <hyperlink ref="D200" r:id="rId173" display="https://racing.hkjc.com/zh-hk/local/information/jockeyprofile?jockeyid=FEL&amp;Season=Current" xr:uid="{71881BC7-4821-411B-AF4A-111D10BA4838}"/>
    <hyperlink ref="E200" r:id="rId174" display="https://racing.hkjc.com/zh-hk/local/information/trainerprofile?trainerid=FC&amp;Season=Current" xr:uid="{6715AA19-E489-4992-8042-7F5C8FB74917}"/>
    <hyperlink ref="C204" r:id="rId175" display="https://racing.hkjc.com/zh-hk/local/information/horse?horseid=HK_2025_L134" xr:uid="{155917A5-E705-427C-8380-28AC298D7984}"/>
    <hyperlink ref="D204" r:id="rId176" display="https://racing.hkjc.com/zh-hk/local/information/jockeyprofile?jockeyid=OJM&amp;Season=Current" xr:uid="{8E36E5E0-8790-4D82-B55E-89C91F2D3CF5}"/>
    <hyperlink ref="E204" r:id="rId177" display="https://racing.hkjc.com/zh-hk/local/information/trainerprofile?trainerid=YPF&amp;Season=Current" xr:uid="{88FEBC8E-468C-4729-B97C-012BF60F75F8}"/>
    <hyperlink ref="C208" r:id="rId178" display="https://racing.hkjc.com/zh-hk/local/information/horse?horseid=HK_2025_L046" xr:uid="{B5FA4F0E-DBC3-4CF8-AA14-63197F2C223D}"/>
    <hyperlink ref="D208" r:id="rId179" display="https://racing.hkjc.com/zh-hk/local/information/jockeyprofile?jockeyid=YML&amp;Season=Current" xr:uid="{43120035-2CE1-429B-BF86-0A6204BFB0B5}"/>
    <hyperlink ref="E208" r:id="rId180" display="https://racing.hkjc.com/zh-hk/local/information/trainerprofile?trainerid=CCW&amp;Season=Current" xr:uid="{998A9D8D-9CBE-46CB-9368-48BE0550D2FA}"/>
    <hyperlink ref="C212" r:id="rId181" display="https://racing.hkjc.com/zh-hk/local/information/horse?horseid=HK_2024_K374" xr:uid="{5B24DC27-7097-4802-9ADA-F3D9ACCF273B}"/>
    <hyperlink ref="D212" r:id="rId182" display="https://racing.hkjc.com/zh-hk/local/information/jockeyprofile?jockeyid=BHW&amp;Season=Current" xr:uid="{FE062476-0305-4223-838F-5645C04E5CF7}"/>
    <hyperlink ref="E212" r:id="rId183" display="https://racing.hkjc.com/zh-hk/local/information/trainerprofile?trainerid=HDA&amp;Season=Current" xr:uid="{6F58B67A-DF08-4439-88B8-3DB37D7B15F0}"/>
    <hyperlink ref="C216" r:id="rId184" display="https://racing.hkjc.com/zh-hk/local/information/horse?horseid=HK_2022_H116" xr:uid="{128B36DB-8C36-4704-AC4C-B2211F624BBF}"/>
    <hyperlink ref="D216" r:id="rId185" display="https://racing.hkjc.com/zh-hk/local/information/jockeyprofile?jockeyid=KRW&amp;Season=Current" xr:uid="{B65ED594-0D31-44D1-99A4-1EA25D463297}"/>
    <hyperlink ref="E216" r:id="rId186" display="https://racing.hkjc.com/zh-hk/local/information/trainerprofile?trainerid=WDJ&amp;Season=Current" xr:uid="{AD981AA6-CAE9-4AFF-A306-65DC19427B07}"/>
    <hyperlink ref="C220" r:id="rId187" display="https://racing.hkjc.com/zh-hk/local/information/horse?horseid=HK_2025_L065" xr:uid="{29E8B83B-27B0-48C9-A744-4CD2C294F94D}"/>
    <hyperlink ref="D220" r:id="rId188" display="https://racing.hkjc.com/zh-hk/local/information/jockeyprofile?jockeyid=TEK&amp;Season=Current" xr:uid="{20D773AD-7F72-49A3-9C36-AAD9B621C040}"/>
    <hyperlink ref="E220" r:id="rId189" display="https://racing.hkjc.com/zh-hk/local/information/trainerprofile?trainerid=CAS&amp;Season=Current" xr:uid="{97D58470-82D1-4DCC-B4D2-A55569113350}"/>
    <hyperlink ref="C226" r:id="rId190" display="https://racing.hkjc.com/zh-hk/local/information/horse?horseid=HK_2023_J300" xr:uid="{C791DF08-9CEA-455F-A0A0-3656CE75A803}"/>
    <hyperlink ref="D226" r:id="rId191" display="https://racing.hkjc.com/zh-hk/local/information/jockeyprofile?jockeyid=YHY&amp;Season=Current" xr:uid="{3BBA7891-E6FF-42C4-8F9F-A591D6561D71}"/>
    <hyperlink ref="E226" r:id="rId192" display="https://racing.hkjc.com/zh-hk/local/information/trainerprofile?trainerid=NPC&amp;Season=Current" xr:uid="{E99A8D2B-0D44-4B31-B613-DE994C6F4C90}"/>
    <hyperlink ref="C229" r:id="rId193" display="https://racing.hkjc.com/zh-hk/local/information/horse?horseid=HK_2025_L168" xr:uid="{EE11CDBB-B7B8-4020-BCA6-96330651C74A}"/>
    <hyperlink ref="D229" r:id="rId194" display="https://racing.hkjc.com/zh-hk/local/information/jockeyprofile?jockeyid=CCY&amp;Season=Current" xr:uid="{5DE98428-EDF2-4BBE-BB3D-384C7773EE4A}"/>
    <hyperlink ref="E229" r:id="rId195" display="https://racing.hkjc.com/zh-hk/local/information/trainerprofile?trainerid=TYS&amp;Season=Current" xr:uid="{47FCD0D3-A5E2-48E7-AECC-7FF58BA29FBB}"/>
    <hyperlink ref="C232" r:id="rId196" display="https://racing.hkjc.com/zh-hk/local/information/horse?horseid=HK_2024_K314" xr:uid="{7FDD3041-174B-4AF3-9E33-8850843317FC}"/>
    <hyperlink ref="D232" r:id="rId197" display="https://racing.hkjc.com/zh-hk/local/information/jockeyprofile?jockeyid=AA&amp;Season=Current" xr:uid="{AAE401F5-A096-407B-9BF3-F1269E1CBE03}"/>
    <hyperlink ref="E232" r:id="rId198" display="https://racing.hkjc.com/zh-hk/local/information/trainerprofile?trainerid=SJJ&amp;Season=Current" xr:uid="{45DE7424-2DFF-41F8-B7A9-DB9A78F14F45}"/>
    <hyperlink ref="A235" r:id="rId199" display="https://racing.hkjc.com/zh-hk/local/info/finishphoto?path=//consvc.hkjc.com/-/media/Sites/JCRW/FinishPhotos/26_27/20260923/20260923R07_P4.jpg" xr:uid="{7C83F8F6-5BB8-431F-8DB3-037097086F37}"/>
    <hyperlink ref="C235" r:id="rId200" display="https://racing.hkjc.com/zh-hk/local/information/horse?horseid=HK_2023_J290" xr:uid="{09BF3C45-68A3-4073-920B-92CC26E78C03}"/>
    <hyperlink ref="D235" r:id="rId201" display="https://racing.hkjc.com/zh-hk/local/information/jockeyprofile?jockeyid=CJE&amp;Season=Current" xr:uid="{19CC0F15-318B-4DB6-8BBD-0E573017046C}"/>
    <hyperlink ref="E235" r:id="rId202" display="https://racing.hkjc.com/zh-hk/local/information/trainerprofile?trainerid=CAS&amp;Season=Current" xr:uid="{885FB8BF-1FEC-447C-B7D5-DB223AA223AA}"/>
    <hyperlink ref="C238" r:id="rId203" display="https://racing.hkjc.com/zh-hk/local/information/horse?horseid=HK_2024_K352" xr:uid="{B0013A5E-5816-4717-A6BB-6E2B3DB7BE3E}"/>
    <hyperlink ref="D238" r:id="rId204" display="https://racing.hkjc.com/zh-hk/local/information/jockeyprofile?jockeyid=AVB&amp;Season=Current" xr:uid="{EB499C43-0558-4288-80B8-BFB2A11EE550}"/>
    <hyperlink ref="E238" r:id="rId205" display="https://racing.hkjc.com/zh-hk/local/information/trainerprofile?trainerid=LFC&amp;Season=Current" xr:uid="{F05C3DEC-88FD-4258-BB63-BD2DF91C0CF3}"/>
    <hyperlink ref="C241" r:id="rId206" display="https://racing.hkjc.com/zh-hk/local/information/horse?horseid=HK_2023_J370" xr:uid="{C654FD06-A1E6-4FBF-B831-BCAC194545DE}"/>
    <hyperlink ref="D241" r:id="rId207" display="https://racing.hkjc.com/zh-hk/local/information/jockeyprofile?jockeyid=CML&amp;Season=Current" xr:uid="{17377634-5F2B-4928-B5D5-A3846C23BF04}"/>
    <hyperlink ref="E241" r:id="rId208" display="https://racing.hkjc.com/zh-hk/local/information/trainerprofile?trainerid=MWK&amp;Season=Current" xr:uid="{E14025B2-D371-4980-A59A-B05BC1DBA603}"/>
    <hyperlink ref="C244" r:id="rId209" display="https://racing.hkjc.com/zh-hk/local/information/horse?horseid=HK_2024_K234" xr:uid="{205FDC8A-FF2E-4EDB-A69B-BBF1B12836E3}"/>
    <hyperlink ref="D244" r:id="rId210" display="https://racing.hkjc.com/zh-hk/local/information/jockeyprofile?jockeyid=PZ&amp;Season=Current" xr:uid="{6CAC1B3F-817C-489D-B9B7-892679F3645B}"/>
    <hyperlink ref="E244" r:id="rId211" display="https://racing.hkjc.com/zh-hk/local/information/trainerprofile?trainerid=HDA&amp;Season=Current" xr:uid="{6C803E58-922E-4EC7-9328-D25821E77C7F}"/>
    <hyperlink ref="C247" r:id="rId212" display="https://racing.hkjc.com/zh-hk/local/information/horse?horseid=HK_2020_E301" xr:uid="{A7EA8397-7B4B-45D9-9B89-42C6C9D79C65}"/>
    <hyperlink ref="D247" r:id="rId213" display="https://racing.hkjc.com/zh-hk/local/information/jockeyprofile?jockeyid=LDE&amp;Season=Current" xr:uid="{C48CD3C2-A6CE-42E6-9FC9-D7A5FF251DBD}"/>
    <hyperlink ref="E247" r:id="rId214" display="https://racing.hkjc.com/zh-hk/local/information/trainerprofile?trainerid=NM&amp;Season=Current" xr:uid="{AA6F8012-662A-4138-9153-D7D73FCCE059}"/>
    <hyperlink ref="C250" r:id="rId215" display="https://racing.hkjc.com/zh-hk/local/information/horse?horseid=HK_2025_L384" xr:uid="{495E7ED5-EBD8-4F8A-92FB-4DCEBD120359}"/>
    <hyperlink ref="D250" r:id="rId216" display="https://racing.hkjc.com/zh-hk/local/information/jockeyprofile?jockeyid=PMF&amp;Season=Current" xr:uid="{EBC5723F-4901-4FED-9ECA-4C4B5F7A6435}"/>
    <hyperlink ref="E250" r:id="rId217" display="https://racing.hkjc.com/zh-hk/local/information/trainerprofile?trainerid=HAD&amp;Season=Current" xr:uid="{321FF376-110B-40E6-ABDB-3F2B1BECC7D3}"/>
    <hyperlink ref="C253" r:id="rId218" display="https://racing.hkjc.com/zh-hk/local/information/horse?horseid=HK_2023_J158" xr:uid="{2A8DC5F8-7F32-4DCC-AC9A-88792E1B9DA5}"/>
    <hyperlink ref="D253" r:id="rId219" display="https://racing.hkjc.com/zh-hk/local/information/jockeyprofile?jockeyid=BHW&amp;Season=Current" xr:uid="{6C3C1F3D-3D4A-4BFF-AA17-E56C48FF65D7}"/>
    <hyperlink ref="E253" r:id="rId220" display="https://racing.hkjc.com/zh-hk/local/information/trainerprofile?trainerid=LKW&amp;Season=Current" xr:uid="{2626F62A-29DF-4982-9385-2F893BB0A209}"/>
    <hyperlink ref="C256" r:id="rId221" display="https://racing.hkjc.com/zh-hk/local/information/horse?horseid=HK_2024_K011" xr:uid="{CE4C02E4-E336-4F71-80B6-59E7981F1CBE}"/>
    <hyperlink ref="D256" r:id="rId222" display="https://racing.hkjc.com/zh-hk/local/information/jockeyprofile?jockeyid=FEL&amp;Season=Current" xr:uid="{85D62103-43C9-488E-A6F2-14F2B74A62A6}"/>
    <hyperlink ref="E256" r:id="rId223" display="https://racing.hkjc.com/zh-hk/local/information/trainerprofile?trainerid=EDJ&amp;Season=Current" xr:uid="{6B075BDD-B649-4B4D-8F5B-C3BAA7DE5E91}"/>
    <hyperlink ref="C259" r:id="rId224" display="https://racing.hkjc.com/zh-hk/local/information/horse?horseid=HK_2024_K367" xr:uid="{7FBE8754-8A55-48DC-A0F5-0114A560CCDA}"/>
    <hyperlink ref="D259" r:id="rId225" display="https://racing.hkjc.com/zh-hk/local/information/jockeyprofile?jockeyid=WEC&amp;Season=Current" xr:uid="{3ACCADB0-184C-4808-AE35-7E5E075DC49F}"/>
    <hyperlink ref="E259" r:id="rId226" display="https://racing.hkjc.com/zh-hk/local/information/trainerprofile?trainerid=SCS&amp;Season=Current" xr:uid="{A572F5AA-A1D2-41E4-AA9E-29445925B833}"/>
    <hyperlink ref="C262" r:id="rId227" display="https://racing.hkjc.com/zh-hk/local/information/horse?horseid=HK_2025_L096" xr:uid="{6DB93133-AFF5-4D37-BBCD-E84DBDF15B31}"/>
    <hyperlink ref="D262" r:id="rId228" display="https://racing.hkjc.com/zh-hk/local/information/jockeyprofile?jockeyid=AA&amp;Season=Current" xr:uid="{61A3F821-39E3-4B6C-8E94-63ABA1A1C6C0}"/>
    <hyperlink ref="E262" r:id="rId229" display="https://racing.hkjc.com/zh-hk/local/information/trainerprofile?trainerid=MKL&amp;Season=Current" xr:uid="{721E0C07-E4F8-4AAB-A199-2B28C9994E45}"/>
    <hyperlink ref="C265" r:id="rId230" display="https://racing.hkjc.com/zh-hk/local/information/horse?horseid=HK_2024_K553" xr:uid="{07E9951E-28C9-4C2A-91FE-069247FF04BF}"/>
    <hyperlink ref="D265" r:id="rId231" display="https://racing.hkjc.com/zh-hk/local/information/jockeyprofile?jockeyid=WEC&amp;Season=Current" xr:uid="{068C1666-472D-4AC7-99D3-EEEF0EA7419A}"/>
    <hyperlink ref="E265" r:id="rId232" display="https://racing.hkjc.com/zh-hk/local/information/trainerprofile?trainerid=SCS&amp;Season=Current" xr:uid="{5EE810F5-48EC-4879-9100-C929C64FB80C}"/>
    <hyperlink ref="A268" r:id="rId233" display="https://racing.hkjc.com/zh-hk/local/info/finishphoto?path=//consvc.hkjc.com/-/media/Sites/JCRW/FinishPhotos/26_27/20260923/20260923R08_P3.jpg" xr:uid="{F88CA004-A386-4660-8BBE-2DE978B8F19F}"/>
    <hyperlink ref="C268" r:id="rId234" display="https://racing.hkjc.com/zh-hk/local/information/horse?horseid=HK_2023_J396" xr:uid="{9BA8A384-97CD-4A42-A7BD-CF475FBA89F6}"/>
    <hyperlink ref="D268" r:id="rId235" display="https://racing.hkjc.com/zh-hk/local/information/jockeyprofile?jockeyid=TEK&amp;Season=Current" xr:uid="{B4D5C4C0-2119-40E6-8436-D17E1770CD66}"/>
    <hyperlink ref="E268" r:id="rId236" display="https://racing.hkjc.com/zh-hk/local/information/trainerprofile?trainerid=YCH&amp;Season=Current" xr:uid="{FD5D59E3-D43D-4C45-B6B0-8E63F44453E2}"/>
    <hyperlink ref="A271" r:id="rId237" display="https://racing.hkjc.com/zh-hk/local/info/finishphoto?path=//consvc.hkjc.com/-/media/Sites/JCRW/FinishPhotos/26_27/20260923/20260923R08_P4.jpg" xr:uid="{1EEDB0EF-1F7D-4970-9321-7BC5588C3839}"/>
    <hyperlink ref="C271" r:id="rId238" display="https://racing.hkjc.com/zh-hk/local/information/horse?horseid=HK_2025_L075" xr:uid="{E02D5CDB-C79A-44C2-87DE-2CF7645B745B}"/>
    <hyperlink ref="D271" r:id="rId239" display="https://racing.hkjc.com/zh-hk/local/information/jockeyprofile?jockeyid=CJE&amp;Season=Current" xr:uid="{01C3C907-1360-489B-9905-D5B912437F98}"/>
    <hyperlink ref="E271" r:id="rId240" display="https://racing.hkjc.com/zh-hk/local/information/trainerprofile?trainerid=TYS&amp;Season=Current" xr:uid="{57196346-5F9E-4809-9B93-EAB395A16DBB}"/>
    <hyperlink ref="C274" r:id="rId241" display="https://racing.hkjc.com/zh-hk/local/information/horse?horseid=HK_2024_K186" xr:uid="{0A7DB04D-6D94-4AB7-884F-E00B8E921B2F}"/>
    <hyperlink ref="D274" r:id="rId242" display="https://racing.hkjc.com/zh-hk/local/information/jockeyprofile?jockeyid=HEL&amp;Season=Current" xr:uid="{2FF19570-106B-474D-9A37-F806984D6E65}"/>
    <hyperlink ref="E274" r:id="rId243" display="https://racing.hkjc.com/zh-hk/local/information/trainerprofile?trainerid=NM&amp;Season=Current" xr:uid="{A2DA3085-8951-444E-8A2E-1321E4A561AE}"/>
    <hyperlink ref="C277" r:id="rId244" display="https://racing.hkjc.com/zh-hk/local/information/horse?horseid=HK_2023_J237" xr:uid="{846BC59D-C663-4648-BEDB-142BD3727A22}"/>
    <hyperlink ref="D277" r:id="rId245" display="https://racing.hkjc.com/zh-hk/local/information/jockeyprofile?jockeyid=AVB&amp;Season=Current" xr:uid="{F6C8F7CC-1924-4302-AD0A-D80F5FAB8DE8}"/>
    <hyperlink ref="E277" r:id="rId246" display="https://racing.hkjc.com/zh-hk/local/information/trainerprofile?trainerid=RW&amp;Season=Current" xr:uid="{43C4C724-AD99-4278-9DB9-BAF253784922}"/>
    <hyperlink ref="C280" r:id="rId247" display="https://racing.hkjc.com/zh-hk/local/information/horse?horseid=HK_2023_J487" xr:uid="{476B0A43-8EE2-41CD-AF67-2E98FCF73B96}"/>
    <hyperlink ref="D280" r:id="rId248" display="https://racing.hkjc.com/zh-hk/local/information/jockeyprofile?jockeyid=YHY&amp;Season=Current" xr:uid="{B98970C6-9AE3-4761-879C-076DAEDBE890}"/>
    <hyperlink ref="E280" r:id="rId249" display="https://racing.hkjc.com/zh-hk/local/information/trainerprofile?trainerid=MWK&amp;Season=Current" xr:uid="{DED67389-007F-40AC-B2D7-EB2BD7E98B3C}"/>
    <hyperlink ref="C283" r:id="rId250" display="https://racing.hkjc.com/zh-hk/local/information/horse?horseid=HK_2022_H113" xr:uid="{4FA8A346-8A7B-449D-A518-B9C19D1EF7F9}"/>
    <hyperlink ref="D283" r:id="rId251" display="https://racing.hkjc.com/zh-hk/local/information/jockeyprofile?jockeyid=CCY&amp;Season=Current" xr:uid="{2BA29313-AA15-4BC6-BFD2-D6A3C47FBDDE}"/>
    <hyperlink ref="E283" r:id="rId252" display="https://racing.hkjc.com/zh-hk/local/information/trainerprofile?trainerid=CAS&amp;Season=Current" xr:uid="{8EBD7660-0D72-44CD-8A26-889B3D135B36}"/>
    <hyperlink ref="C286" r:id="rId253" display="https://racing.hkjc.com/zh-hk/local/information/horse?horseid=HK_2024_K340" xr:uid="{B179D339-64FE-4828-B638-0E5AD5FA0B1B}"/>
    <hyperlink ref="D286" r:id="rId254" display="https://racing.hkjc.com/zh-hk/local/information/jockeyprofile?jockeyid=LDE&amp;Season=Current" xr:uid="{BBE6B869-83C1-4981-8D9C-E6B9BC0479B6}"/>
    <hyperlink ref="E286" r:id="rId255" display="https://racing.hkjc.com/zh-hk/local/information/trainerprofile?trainerid=CCW&amp;Season=Current" xr:uid="{04335AA1-8EB2-4A98-AB6A-287985033EC2}"/>
    <hyperlink ref="C289" r:id="rId256" display="https://racing.hkjc.com/zh-hk/local/information/horse?horseid=HK_2024_K125" xr:uid="{5047EE5D-3B46-4495-810F-BBD3B4018952}"/>
    <hyperlink ref="D289" r:id="rId257" display="https://racing.hkjc.com/zh-hk/local/information/jockeyprofile?jockeyid=HCY&amp;Season=Current" xr:uid="{E1B670EC-A12B-418F-A456-67B0FA64D983}"/>
    <hyperlink ref="E289" r:id="rId258" display="https://racing.hkjc.com/zh-hk/local/information/trainerprofile?trainerid=FC&amp;Season=Current" xr:uid="{6493B584-A428-4BD0-8D7F-78D74EA9D4DE}"/>
    <hyperlink ref="C292" r:id="rId259" display="https://racing.hkjc.com/zh-hk/local/information/horse?horseid=HK_2024_K516" xr:uid="{7E94D836-21E3-42A8-9F58-E54B93254B0C}"/>
    <hyperlink ref="D292" r:id="rId260" display="https://racing.hkjc.com/zh-hk/local/information/jockeyprofile?jockeyid=OJM&amp;Season=Current" xr:uid="{0F7F41FD-1A04-4E92-A365-4A80E2EEDD6F}"/>
    <hyperlink ref="E292" r:id="rId261" display="https://racing.hkjc.com/zh-hk/local/information/trainerprofile?trainerid=HAD&amp;Season=Current" xr:uid="{74DD98EE-05E4-4143-895B-6A5030E0FF64}"/>
    <hyperlink ref="C295" r:id="rId262" display="https://racing.hkjc.com/zh-hk/local/information/horse?horseid=HK_2020_E061" xr:uid="{045B7990-46A3-4C4D-974A-3205204A4A12}"/>
    <hyperlink ref="D295" r:id="rId263" display="https://racing.hkjc.com/zh-hk/local/information/jockeyprofile?jockeyid=FEL&amp;Season=Current" xr:uid="{20B4A4CE-B855-4F37-B905-D84E5F4E347A}"/>
    <hyperlink ref="E295" r:id="rId264" display="https://racing.hkjc.com/zh-hk/local/information/trainerprofile?trainerid=HDA&amp;Season=Current" xr:uid="{99162A4D-E98B-44A1-9B9D-8943CEE1C2F3}"/>
    <hyperlink ref="C298" r:id="rId265" display="https://racing.hkjc.com/zh-hk/local/information/horse?horseid=HK_2023_J446" xr:uid="{4B5FD7EB-7F9D-4DE3-A5CF-746EEFE41655}"/>
    <hyperlink ref="D298" r:id="rId266" display="https://racing.hkjc.com/zh-hk/local/information/jockeyprofile?jockeyid=HCY&amp;Season=Current" xr:uid="{D257B462-29CB-4D83-9CAB-3C7BECDE005B}"/>
    <hyperlink ref="E298" r:id="rId267" display="https://racing.hkjc.com/zh-hk/local/information/trainerprofile?trainerid=MWK&amp;Season=Current" xr:uid="{19D0405E-326F-4BFF-8055-68AF016A6683}"/>
    <hyperlink ref="C303" r:id="rId268" display="https://racing.hkjc.com/zh-hk/local/information/horse?horseid=HK_2024_K381" xr:uid="{F4C58E9C-B799-4717-89D5-AE94FD50A3CD}"/>
    <hyperlink ref="D303" r:id="rId269" display="https://racing.hkjc.com/zh-hk/local/information/jockeyprofile?jockeyid=CJE&amp;Season=Current" xr:uid="{6346CFEB-E33C-490B-BEE8-17E262559F0E}"/>
    <hyperlink ref="E303" r:id="rId270" display="https://racing.hkjc.com/zh-hk/local/information/trainerprofile?trainerid=LKW&amp;Season=Current" xr:uid="{75EA16A5-7E9F-4D27-BA73-AF2E957EFB88}"/>
    <hyperlink ref="C308" r:id="rId271" display="https://racing.hkjc.com/zh-hk/local/information/horse?horseid=HK_2025_L108" xr:uid="{8FDDBD2E-6A32-48A0-928F-25179BBCB3F6}"/>
    <hyperlink ref="D308" r:id="rId272" display="https://racing.hkjc.com/zh-hk/local/information/jockeyprofile?jockeyid=PZ&amp;Season=Current" xr:uid="{F01A6584-0B4C-4B93-9B05-FD4F344476C6}"/>
    <hyperlink ref="E308" r:id="rId273" display="https://racing.hkjc.com/zh-hk/local/information/trainerprofile?trainerid=EDJ&amp;Season=Current" xr:uid="{60A95AE0-DA7A-4077-91FF-30FEC9736D3B}"/>
    <hyperlink ref="C313" r:id="rId274" display="https://racing.hkjc.com/zh-hk/local/information/horse?horseid=HK_2024_K395" xr:uid="{FED9DFD2-BA7F-4F0D-A74F-360A702CB755}"/>
    <hyperlink ref="D313" r:id="rId275" display="https://racing.hkjc.com/zh-hk/local/information/jockeyprofile?jockeyid=YML&amp;Season=Current" xr:uid="{FA5694A5-47ED-433F-AD48-2EA64A2851FE}"/>
    <hyperlink ref="E313" r:id="rId276" display="https://racing.hkjc.com/zh-hk/local/information/trainerprofile?trainerid=HDA&amp;Season=Current" xr:uid="{CB01D500-41BF-454B-BE31-87DA514F803A}"/>
    <hyperlink ref="C318" r:id="rId277" display="https://racing.hkjc.com/zh-hk/local/information/horse?horseid=HK_2025_L184" xr:uid="{2B0A0DFB-7AF0-4D8B-B16E-CE1947EF7CFA}"/>
    <hyperlink ref="D318" r:id="rId278" display="https://racing.hkjc.com/zh-hk/local/information/jockeyprofile?jockeyid=CML&amp;Season=Current" xr:uid="{6FC8A9F5-9B2A-460E-BB02-65B02D5FB569}"/>
    <hyperlink ref="E318" r:id="rId279" display="https://racing.hkjc.com/zh-hk/local/information/trainerprofile?trainerid=CAS&amp;Season=Current" xr:uid="{8C4C10B6-E6B3-45C3-AFB8-978C6ABBE9EC}"/>
    <hyperlink ref="C323" r:id="rId280" display="https://racing.hkjc.com/zh-hk/local/information/horse?horseid=HK_2024_K004" xr:uid="{6FA86EA7-A032-44F7-AC6C-005909B236D4}"/>
    <hyperlink ref="D323" r:id="rId281" display="https://racing.hkjc.com/zh-hk/local/information/jockeyprofile?jockeyid=TEK&amp;Season=Current" xr:uid="{5FAC39CB-10E9-4526-BE1A-538C102AFEB9}"/>
    <hyperlink ref="E323" r:id="rId282" display="https://racing.hkjc.com/zh-hk/local/information/trainerprofile?trainerid=TYS&amp;Season=Current" xr:uid="{C7D3620B-B517-4609-B321-1BBBDEBC911F}"/>
    <hyperlink ref="C328" r:id="rId283" display="https://racing.hkjc.com/zh-hk/local/information/horse?horseid=HK_2025_L057" xr:uid="{91873BC9-88B5-4BD0-80F2-C74A20A283F6}"/>
    <hyperlink ref="D328" r:id="rId284" display="https://racing.hkjc.com/zh-hk/local/information/jockeyprofile?jockeyid=BHW&amp;Season=Current" xr:uid="{7C6443DD-9CA1-4164-9598-53D70D268B4E}"/>
    <hyperlink ref="E328" r:id="rId285" display="https://racing.hkjc.com/zh-hk/local/information/trainerprofile?trainerid=MWK&amp;Season=Current" xr:uid="{2488A01A-A168-4566-9A5D-ED18CBF1F61F}"/>
    <hyperlink ref="C333" r:id="rId286" display="https://racing.hkjc.com/zh-hk/local/information/horse?horseid=HK_2024_K161" xr:uid="{2B410D74-A346-4F3D-B31A-795599876F63}"/>
    <hyperlink ref="D333" r:id="rId287" display="https://racing.hkjc.com/zh-hk/local/information/jockeyprofile?jockeyid=FEL&amp;Season=Current" xr:uid="{02BAE7EB-DF53-472D-9C26-C9FF18965491}"/>
    <hyperlink ref="E333" r:id="rId288" display="https://racing.hkjc.com/zh-hk/local/information/trainerprofile?trainerid=FC&amp;Season=Current" xr:uid="{070ABB53-1FF5-4CED-8A1D-8A0A878D6C3D}"/>
    <hyperlink ref="C338" r:id="rId289" display="https://racing.hkjc.com/zh-hk/local/information/horse?horseid=HK_2021_G306" xr:uid="{BA630BEE-D873-49D3-A40C-AA115EE24BCC}"/>
    <hyperlink ref="D338" r:id="rId290" display="https://racing.hkjc.com/zh-hk/local/information/jockeyprofile?jockeyid=PMF&amp;Season=Current" xr:uid="{9AAF2507-0CC6-473D-979F-53EED1AA5D07}"/>
    <hyperlink ref="E338" r:id="rId291" display="https://racing.hkjc.com/zh-hk/local/information/trainerprofile?trainerid=LFC&amp;Season=Current" xr:uid="{A2CFE8A2-576A-4639-8B24-02E1D2589A02}"/>
    <hyperlink ref="C343" r:id="rId292" display="https://racing.hkjc.com/zh-hk/local/information/horse?horseid=HK_2023_J075" xr:uid="{3CE46E9F-DADA-47A6-BF7B-8E7849E1DEA3}"/>
    <hyperlink ref="D343" r:id="rId293" display="https://racing.hkjc.com/zh-hk/local/information/jockeyprofile?jockeyid=AA&amp;Season=Current" xr:uid="{66594412-AEB7-4398-A2BD-089A0AC8D484}"/>
    <hyperlink ref="E343" r:id="rId294" display="https://racing.hkjc.com/zh-hk/local/information/trainerprofile?trainerid=NPC&amp;Season=Current" xr:uid="{8225535B-3DF0-44D3-8A5D-277F2570E135}"/>
    <hyperlink ref="C348" r:id="rId295" display="https://racing.hkjc.com/zh-hk/local/information/horse?horseid=HK_2025_L240" xr:uid="{60BDE2BB-AE4C-4564-A7C5-0A253097E94C}"/>
    <hyperlink ref="D348" r:id="rId296" display="https://racing.hkjc.com/zh-hk/local/information/jockeyprofile?jockeyid=WEC&amp;Season=Current" xr:uid="{1E9B8311-A3AC-452C-8E3C-D41BA10C5258}"/>
    <hyperlink ref="E348" r:id="rId297" display="https://racing.hkjc.com/zh-hk/local/information/trainerprofile?trainerid=SCS&amp;Season=Current" xr:uid="{DC57F1B1-8BC8-4C65-A4A8-9BE6D5B16670}"/>
    <hyperlink ref="C353" r:id="rId298" display="https://racing.hkjc.com/zh-hk/local/information/horse?horseid=HK_2025_L151" xr:uid="{5E846C6C-7F57-4074-BAF9-D7270C62FAD5}"/>
    <hyperlink ref="D353" r:id="rId299" display="https://racing.hkjc.com/zh-hk/local/information/jockeyprofile?jockeyid=OJM&amp;Season=Current" xr:uid="{054C99DB-B585-4BA4-8096-51E6296B7A0F}"/>
    <hyperlink ref="E353" r:id="rId300" display="https://racing.hkjc.com/zh-hk/local/information/trainerprofile?trainerid=SCS&amp;Season=Current" xr:uid="{5E380120-EFE2-4F18-A1AB-9C63032A53AC}"/>
    <hyperlink ref="C366" r:id="rId301" display="https://racing.hkjc.com/zh-hk/local/information/horse?horseid=HK_2024_K580" xr:uid="{FE409580-8661-412F-9CCB-02ABA0A51F4F}"/>
    <hyperlink ref="D366" r:id="rId302" display="https://racing.hkjc.com/zh-hk/local/information/jockeyprofile?jockeyid=CJE&amp;Season=Current" xr:uid="{E8F33204-8234-4272-8C14-99436DF0E9A4}"/>
    <hyperlink ref="E366" r:id="rId303" display="https://racing.hkjc.com/zh-hk/local/information/trainerprofile?trainerid=EDJ&amp;Season=Current" xr:uid="{8F5C69F5-DAE3-4335-AAE6-33C385476420}"/>
    <hyperlink ref="C367" r:id="rId304" display="https://racing.hkjc.com/zh-hk/local/information/horse?horseid=HK_2024_K028" xr:uid="{F5FA64AE-FF18-4901-BDCC-1CA651DB5624}"/>
    <hyperlink ref="D367" r:id="rId305" display="https://racing.hkjc.com/zh-hk/local/information/jockeyprofile?jockeyid=PZ&amp;Season=Current" xr:uid="{C3C3955B-8B62-43C7-8507-60304DF4278F}"/>
    <hyperlink ref="E367" r:id="rId306" display="https://racing.hkjc.com/zh-hk/local/information/trainerprofile?trainerid=HDA&amp;Season=Current" xr:uid="{1F57638D-942B-439D-BDE2-27127BD8F9C2}"/>
    <hyperlink ref="C372" r:id="rId307" display="https://racing.hkjc.com/zh-hk/local/information/horse?horseid=HK_2024_K529" xr:uid="{1698E547-E24C-4395-8575-92CE56F20C64}"/>
    <hyperlink ref="D372" r:id="rId308" display="https://racing.hkjc.com/zh-hk/local/information/jockeyprofile?jockeyid=HCY&amp;Season=Current" xr:uid="{50695F05-F51C-43C0-9CE4-BD526268F764}"/>
    <hyperlink ref="E372" r:id="rId309" display="https://racing.hkjc.com/zh-hk/local/information/trainerprofile?trainerid=FC&amp;Season=Current" xr:uid="{A0E45555-05EA-4761-A46A-4C627D4966C1}"/>
    <hyperlink ref="C375" r:id="rId310" display="https://racing.hkjc.com/zh-hk/local/information/horse?horseid=HK_2025_L007" xr:uid="{08B742A3-E40D-480C-ADAD-B545E2BB6E27}"/>
    <hyperlink ref="D375" r:id="rId311" display="https://racing.hkjc.com/zh-hk/local/information/jockeyprofile?jockeyid=AA&amp;Season=Current" xr:uid="{AF81EBEB-33E9-4D23-A480-9CAD5B9E3E6B}"/>
    <hyperlink ref="E375" r:id="rId312" display="https://racing.hkjc.com/zh-hk/local/information/trainerprofile?trainerid=CAS&amp;Season=Current" xr:uid="{FC77FE66-36E9-4687-B732-26765EAF7463}"/>
    <hyperlink ref="C378" r:id="rId313" display="https://racing.hkjc.com/zh-hk/local/information/horse?horseid=HK_2024_K479" xr:uid="{5DE8E763-A003-4AF9-A025-63B85E5A6F8C}"/>
    <hyperlink ref="D378" r:id="rId314" display="https://racing.hkjc.com/zh-hk/local/information/jockeyprofile?jockeyid=CJE&amp;Season=Current" xr:uid="{BE9F3EF0-4F18-4579-A301-7C1777FC94A7}"/>
    <hyperlink ref="E378" r:id="rId315" display="https://racing.hkjc.com/zh-hk/local/information/trainerprofile?trainerid=LKW&amp;Season=Current" xr:uid="{943208E2-1AE1-4DCF-9020-B564C985FCBE}"/>
    <hyperlink ref="A381" r:id="rId316" display="https://racing.hkjc.com/zh-hk/local/info/finishphoto?path=//consvc.hkjc.com/-/media/Sites/JCRW/FinishPhotos/26_27/20260923/20260923R06_P4.jpg" xr:uid="{24DF13E6-1803-498E-85A4-C505A751E366}"/>
    <hyperlink ref="C381" r:id="rId317" display="https://racing.hkjc.com/zh-hk/local/information/horse?horseid=HK_2025_L175" xr:uid="{893364EB-4F88-43A8-8126-1FD3D09F2B36}"/>
    <hyperlink ref="D381" r:id="rId318" display="https://racing.hkjc.com/zh-hk/local/information/jockeyprofile?jockeyid=TEK&amp;Season=Current" xr:uid="{F7F98B1F-4F0F-417C-965D-3331474500E1}"/>
    <hyperlink ref="E381" r:id="rId319" display="https://racing.hkjc.com/zh-hk/local/information/trainerprofile?trainerid=MKL&amp;Season=Current" xr:uid="{354BAA06-A88A-44AA-A61B-675B40FF745F}"/>
    <hyperlink ref="C384" r:id="rId320" display="https://racing.hkjc.com/zh-hk/local/information/horse?horseid=HK_2025_L291" xr:uid="{4B3117E0-A6D8-4912-B80C-BF05775E95B5}"/>
    <hyperlink ref="D384" r:id="rId321" display="https://racing.hkjc.com/zh-hk/local/information/jockeyprofile?jockeyid=PMF&amp;Season=Current" xr:uid="{0E577DE0-FD0F-44A0-B138-4251E29A7101}"/>
    <hyperlink ref="E384" r:id="rId322" display="https://racing.hkjc.com/zh-hk/local/information/trainerprofile?trainerid=SCS&amp;Season=Current" xr:uid="{763AEC90-6C02-4A7E-9C74-330A97EDDED7}"/>
    <hyperlink ref="C387" r:id="rId323" display="https://racing.hkjc.com/zh-hk/local/information/horse?horseid=HK_2024_K468" xr:uid="{99466335-BC56-4E14-BFB0-96E29A1A613E}"/>
    <hyperlink ref="D387" r:id="rId324" display="https://racing.hkjc.com/zh-hk/local/information/jockeyprofile?jockeyid=OJM&amp;Season=Current" xr:uid="{3A73701A-122D-441F-B63E-961E01D47FEF}"/>
    <hyperlink ref="E387" r:id="rId325" display="https://racing.hkjc.com/zh-hk/local/information/trainerprofile?trainerid=NPC&amp;Season=Current" xr:uid="{3851E567-C63A-4BFA-958A-B1FDC2F74C9E}"/>
    <hyperlink ref="C390" r:id="rId326" display="https://racing.hkjc.com/zh-hk/local/information/horse?horseid=HK_2020_E175" xr:uid="{7B5B96F5-E6A6-41DF-BC03-4FA6A271D1F3}"/>
    <hyperlink ref="D390" r:id="rId327" display="https://racing.hkjc.com/zh-hk/local/information/jockeyprofile?jockeyid=WPN&amp;Season=Current" xr:uid="{51573832-B261-42CB-82F8-58E6A119341D}"/>
    <hyperlink ref="E390" r:id="rId328" display="https://racing.hkjc.com/zh-hk/local/information/trainerprofile?trainerid=WDJ&amp;Season=Current" xr:uid="{CBAB5209-252E-4068-9761-1241CB4A2FD8}"/>
    <hyperlink ref="C393" r:id="rId329" display="https://racing.hkjc.com/zh-hk/local/information/horse?horseid=HK_2025_L214" xr:uid="{91AB363C-5C28-4AAF-9A91-A1EDF5920AFE}"/>
    <hyperlink ref="D393" r:id="rId330" display="https://racing.hkjc.com/zh-hk/local/information/jockeyprofile?jockeyid=LDE&amp;Season=Current" xr:uid="{59256341-A7E7-465B-AB64-9936767CEAC3}"/>
    <hyperlink ref="E393" r:id="rId331" display="https://racing.hkjc.com/zh-hk/local/information/trainerprofile?trainerid=SWY&amp;Season=Current" xr:uid="{CDDEF304-A9BD-4F5D-816D-6095E1684786}"/>
    <hyperlink ref="C396" r:id="rId332" display="https://racing.hkjc.com/zh-hk/local/information/horse?horseid=HK_2022_H208" xr:uid="{735A8C2A-B743-4B2E-BA81-80215A74B782}"/>
    <hyperlink ref="D396" r:id="rId333" display="https://racing.hkjc.com/zh-hk/local/information/jockeyprofile?jockeyid=CML&amp;Season=Current" xr:uid="{43CDD585-6FC1-405C-B184-92CF317B79FB}"/>
    <hyperlink ref="E396" r:id="rId334" display="https://racing.hkjc.com/zh-hk/local/information/trainerprofile?trainerid=RW&amp;Season=Current" xr:uid="{3F94B19B-DDC1-4713-8098-61E18794412B}"/>
    <hyperlink ref="C399" r:id="rId335" display="https://racing.hkjc.com/zh-hk/local/information/horse?horseid=HK_2024_K228" xr:uid="{497D4BAC-9B79-4311-AC90-278670EB7550}"/>
    <hyperlink ref="D399" r:id="rId336" display="https://racing.hkjc.com/zh-hk/local/information/jockeyprofile?jockeyid=YHY&amp;Season=Current" xr:uid="{FFDA89F7-1F47-4BD3-A222-E75A670F902A}"/>
    <hyperlink ref="E399" r:id="rId337" display="https://racing.hkjc.com/zh-hk/local/information/trainerprofile?trainerid=TYS&amp;Season=Current" xr:uid="{DC087470-AED3-46A4-941F-53605A2EE9B6}"/>
    <hyperlink ref="C402" r:id="rId338" display="https://racing.hkjc.com/zh-hk/local/information/horse?horseid=HK_2025_L101" xr:uid="{2AFF7926-C1B0-4E4D-B771-603209EA97FB}"/>
    <hyperlink ref="D402" r:id="rId339" display="https://racing.hkjc.com/zh-hk/local/information/jockeyprofile?jockeyid=MHT&amp;Season=Current" xr:uid="{6AF85010-CE43-4D6D-B34B-23528D87686A}"/>
    <hyperlink ref="E402" r:id="rId340" display="https://racing.hkjc.com/zh-hk/local/information/trainerprofile?trainerid=CCW&amp;Season=Current" xr:uid="{84D70B7B-56BD-4E29-B261-A1A85832BFAF}"/>
    <hyperlink ref="C405" r:id="rId341" display="https://racing.hkjc.com/zh-hk/local/information/horse?horseid=HK_2025_L290" xr:uid="{61A6572E-4F83-4D1C-823D-F1BC80E4A99B}"/>
    <hyperlink ref="D405" r:id="rId342" display="https://racing.hkjc.com/zh-hk/local/information/jockeyprofile?jockeyid=BHW&amp;Season=Current" xr:uid="{0FAC12E1-E696-4312-811C-4CDEEF62AED5}"/>
    <hyperlink ref="E405" r:id="rId343" display="https://racing.hkjc.com/zh-hk/local/information/trainerprofile?trainerid=HDA&amp;Season=Current" xr:uid="{147C4BF9-E941-4B31-92E5-57D012B22E08}"/>
  </hyperlinks>
  <pageMargins left="0.7" right="0.7" top="0.75" bottom="0.75" header="0.3" footer="0.3"/>
  <drawing r:id="rId3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1682-6F09-4DDA-A3A4-2E054B808DE7}">
  <dimension ref="A1:DI220"/>
  <sheetViews>
    <sheetView tabSelected="1" zoomScaleNormal="100" workbookViewId="0">
      <selection activeCell="Q176" sqref="Q176"/>
    </sheetView>
  </sheetViews>
  <sheetFormatPr defaultRowHeight="16.5" x14ac:dyDescent="0.25"/>
  <cols>
    <col min="1" max="2" width="9" style="109"/>
    <col min="3" max="3" width="15.625" style="109" bestFit="1" customWidth="1"/>
    <col min="4" max="12" width="9" style="109"/>
    <col min="13" max="13" width="13.875" style="109" bestFit="1" customWidth="1"/>
    <col min="15" max="15" width="10.625" customWidth="1"/>
    <col min="19" max="19" width="9.5" bestFit="1" customWidth="1"/>
    <col min="32" max="66" width="0" hidden="1" customWidth="1"/>
  </cols>
  <sheetData>
    <row r="1" spans="1:113" x14ac:dyDescent="0.25">
      <c r="BQ1" s="112" t="s">
        <v>457</v>
      </c>
      <c r="BR1" s="112" t="s">
        <v>457</v>
      </c>
      <c r="BS1" s="112" t="s">
        <v>457</v>
      </c>
      <c r="BT1" s="112" t="s">
        <v>457</v>
      </c>
      <c r="BU1" s="112" t="s">
        <v>457</v>
      </c>
      <c r="BV1" s="112" t="s">
        <v>457</v>
      </c>
      <c r="BW1" s="112" t="s">
        <v>457</v>
      </c>
      <c r="BX1" s="112" t="s">
        <v>457</v>
      </c>
      <c r="BY1" s="112" t="s">
        <v>457</v>
      </c>
      <c r="BZ1" s="112" t="s">
        <v>458</v>
      </c>
      <c r="CA1" s="112" t="s">
        <v>458</v>
      </c>
      <c r="CB1" s="112" t="s">
        <v>458</v>
      </c>
      <c r="CC1" s="112" t="s">
        <v>458</v>
      </c>
      <c r="CD1" s="112" t="s">
        <v>458</v>
      </c>
      <c r="CE1" s="112" t="s">
        <v>458</v>
      </c>
      <c r="CF1" s="112" t="s">
        <v>458</v>
      </c>
      <c r="CG1" s="112" t="s">
        <v>458</v>
      </c>
      <c r="CH1" s="112" t="s">
        <v>458</v>
      </c>
      <c r="CI1" s="112" t="s">
        <v>453</v>
      </c>
      <c r="CJ1" s="112" t="s">
        <v>453</v>
      </c>
      <c r="CK1" s="112" t="s">
        <v>453</v>
      </c>
      <c r="CL1" s="112" t="s">
        <v>453</v>
      </c>
      <c r="CM1" s="112" t="s">
        <v>453</v>
      </c>
      <c r="CN1" s="112" t="s">
        <v>453</v>
      </c>
      <c r="CO1" s="112" t="s">
        <v>453</v>
      </c>
      <c r="CP1" s="112" t="s">
        <v>453</v>
      </c>
      <c r="CQ1" s="112" t="s">
        <v>453</v>
      </c>
      <c r="CR1" s="112" t="s">
        <v>454</v>
      </c>
      <c r="CS1" s="112" t="s">
        <v>454</v>
      </c>
      <c r="CT1" s="112" t="s">
        <v>454</v>
      </c>
      <c r="CU1" s="112" t="s">
        <v>454</v>
      </c>
      <c r="CV1" s="112" t="s">
        <v>454</v>
      </c>
      <c r="CW1" s="112" t="s">
        <v>454</v>
      </c>
      <c r="CX1" s="112" t="s">
        <v>454</v>
      </c>
      <c r="CY1" s="112" t="s">
        <v>454</v>
      </c>
      <c r="CZ1" s="112" t="s">
        <v>454</v>
      </c>
      <c r="DA1" s="112" t="s">
        <v>455</v>
      </c>
      <c r="DB1" s="112" t="s">
        <v>455</v>
      </c>
      <c r="DC1" s="112" t="s">
        <v>455</v>
      </c>
      <c r="DD1" s="112" t="s">
        <v>455</v>
      </c>
      <c r="DE1" s="112" t="s">
        <v>455</v>
      </c>
      <c r="DF1" s="112" t="s">
        <v>455</v>
      </c>
      <c r="DG1" s="112" t="s">
        <v>455</v>
      </c>
      <c r="DH1" s="112" t="s">
        <v>455</v>
      </c>
      <c r="DI1" s="112" t="s">
        <v>455</v>
      </c>
    </row>
    <row r="2" spans="1:113" x14ac:dyDescent="0.25">
      <c r="Z2" s="111" t="s">
        <v>457</v>
      </c>
      <c r="AA2" s="111" t="s">
        <v>457</v>
      </c>
      <c r="AB2" s="111" t="s">
        <v>457</v>
      </c>
      <c r="AC2" s="111" t="s">
        <v>458</v>
      </c>
      <c r="AD2" s="111" t="s">
        <v>458</v>
      </c>
      <c r="AE2" s="111" t="s">
        <v>458</v>
      </c>
      <c r="AF2" s="111" t="s">
        <v>453</v>
      </c>
      <c r="AG2" s="111" t="s">
        <v>453</v>
      </c>
      <c r="AH2" s="111" t="s">
        <v>453</v>
      </c>
      <c r="AI2" s="111" t="s">
        <v>454</v>
      </c>
      <c r="AJ2" s="111" t="s">
        <v>454</v>
      </c>
      <c r="AK2" s="111" t="s">
        <v>454</v>
      </c>
      <c r="AL2" s="111" t="s">
        <v>455</v>
      </c>
      <c r="AM2" s="111" t="s">
        <v>455</v>
      </c>
      <c r="AN2" s="111" t="s">
        <v>455</v>
      </c>
      <c r="AP2" s="111" t="s">
        <v>457</v>
      </c>
      <c r="AQ2" s="111" t="s">
        <v>457</v>
      </c>
      <c r="AR2" s="111" t="s">
        <v>457</v>
      </c>
      <c r="AS2" s="111" t="s">
        <v>458</v>
      </c>
      <c r="AT2" s="111" t="s">
        <v>458</v>
      </c>
      <c r="AU2" s="111" t="s">
        <v>458</v>
      </c>
      <c r="AV2" s="111" t="s">
        <v>453</v>
      </c>
      <c r="AW2" s="111" t="s">
        <v>453</v>
      </c>
      <c r="AX2" s="111" t="s">
        <v>453</v>
      </c>
      <c r="AY2" s="111" t="s">
        <v>454</v>
      </c>
      <c r="AZ2" s="111" t="s">
        <v>454</v>
      </c>
      <c r="BA2" s="111" t="s">
        <v>454</v>
      </c>
      <c r="BB2" s="111" t="s">
        <v>455</v>
      </c>
      <c r="BC2" s="111" t="s">
        <v>455</v>
      </c>
      <c r="BD2" s="111" t="s">
        <v>455</v>
      </c>
      <c r="BF2" s="111" t="s">
        <v>457</v>
      </c>
      <c r="BG2" s="111" t="s">
        <v>457</v>
      </c>
      <c r="BH2" s="111" t="s">
        <v>457</v>
      </c>
      <c r="BI2" s="111" t="s">
        <v>458</v>
      </c>
      <c r="BJ2" s="111" t="s">
        <v>458</v>
      </c>
      <c r="BK2" s="111" t="s">
        <v>458</v>
      </c>
      <c r="BL2" s="111" t="s">
        <v>459</v>
      </c>
      <c r="BM2" s="111" t="s">
        <v>459</v>
      </c>
      <c r="BN2" s="111" t="s">
        <v>459</v>
      </c>
      <c r="BO2" s="111"/>
      <c r="BQ2" s="112" t="s">
        <v>457</v>
      </c>
      <c r="BR2" s="112" t="s">
        <v>457</v>
      </c>
      <c r="BS2" s="112" t="s">
        <v>457</v>
      </c>
      <c r="BT2" s="112" t="s">
        <v>458</v>
      </c>
      <c r="BU2" s="112" t="s">
        <v>458</v>
      </c>
      <c r="BV2" s="112" t="s">
        <v>458</v>
      </c>
      <c r="BW2" s="112" t="s">
        <v>459</v>
      </c>
      <c r="BX2" s="112" t="s">
        <v>459</v>
      </c>
      <c r="BY2" s="112" t="s">
        <v>459</v>
      </c>
      <c r="BZ2" s="112" t="s">
        <v>457</v>
      </c>
      <c r="CA2" s="112" t="s">
        <v>457</v>
      </c>
      <c r="CB2" s="112" t="s">
        <v>457</v>
      </c>
      <c r="CC2" s="112" t="s">
        <v>458</v>
      </c>
      <c r="CD2" s="112" t="s">
        <v>458</v>
      </c>
      <c r="CE2" s="112" t="s">
        <v>458</v>
      </c>
      <c r="CF2" s="112" t="s">
        <v>459</v>
      </c>
      <c r="CG2" s="112" t="s">
        <v>459</v>
      </c>
      <c r="CH2" s="112" t="s">
        <v>459</v>
      </c>
      <c r="CI2" s="112" t="s">
        <v>457</v>
      </c>
      <c r="CJ2" s="112" t="s">
        <v>457</v>
      </c>
      <c r="CK2" s="112" t="s">
        <v>457</v>
      </c>
      <c r="CL2" s="112" t="s">
        <v>458</v>
      </c>
      <c r="CM2" s="112" t="s">
        <v>458</v>
      </c>
      <c r="CN2" s="112" t="s">
        <v>458</v>
      </c>
      <c r="CO2" s="112" t="s">
        <v>459</v>
      </c>
      <c r="CP2" s="112" t="s">
        <v>459</v>
      </c>
      <c r="CQ2" s="112" t="s">
        <v>459</v>
      </c>
      <c r="CR2" s="112" t="s">
        <v>457</v>
      </c>
      <c r="CS2" s="112" t="s">
        <v>457</v>
      </c>
      <c r="CT2" s="112" t="s">
        <v>457</v>
      </c>
      <c r="CU2" s="112" t="s">
        <v>458</v>
      </c>
      <c r="CV2" s="112" t="s">
        <v>458</v>
      </c>
      <c r="CW2" s="112" t="s">
        <v>458</v>
      </c>
      <c r="CX2" s="112" t="s">
        <v>459</v>
      </c>
      <c r="CY2" s="112" t="s">
        <v>459</v>
      </c>
      <c r="CZ2" s="112" t="s">
        <v>459</v>
      </c>
      <c r="DA2" s="112" t="s">
        <v>457</v>
      </c>
      <c r="DB2" s="112" t="s">
        <v>457</v>
      </c>
      <c r="DC2" s="112" t="s">
        <v>457</v>
      </c>
      <c r="DD2" s="112" t="s">
        <v>458</v>
      </c>
      <c r="DE2" s="112" t="s">
        <v>458</v>
      </c>
      <c r="DF2" s="112" t="s">
        <v>458</v>
      </c>
      <c r="DG2" s="112" t="s">
        <v>459</v>
      </c>
      <c r="DH2" s="112" t="s">
        <v>459</v>
      </c>
      <c r="DI2" s="112" t="s">
        <v>459</v>
      </c>
    </row>
    <row r="3" spans="1:113" x14ac:dyDescent="0.25">
      <c r="O3" t="s">
        <v>452</v>
      </c>
      <c r="T3" t="s">
        <v>456</v>
      </c>
      <c r="W3" t="s">
        <v>460</v>
      </c>
      <c r="Z3" s="111" t="s">
        <v>457</v>
      </c>
      <c r="AA3" s="111" t="s">
        <v>458</v>
      </c>
      <c r="AB3" s="111" t="s">
        <v>459</v>
      </c>
      <c r="AC3" s="111" t="s">
        <v>457</v>
      </c>
      <c r="AD3" s="111" t="s">
        <v>458</v>
      </c>
      <c r="AE3" s="111" t="s">
        <v>459</v>
      </c>
      <c r="AF3" s="111" t="s">
        <v>457</v>
      </c>
      <c r="AG3" s="111" t="s">
        <v>458</v>
      </c>
      <c r="AH3" s="111" t="s">
        <v>459</v>
      </c>
      <c r="AI3" s="111" t="s">
        <v>457</v>
      </c>
      <c r="AJ3" s="111" t="s">
        <v>458</v>
      </c>
      <c r="AK3" s="111" t="s">
        <v>459</v>
      </c>
      <c r="AL3" s="111" t="s">
        <v>457</v>
      </c>
      <c r="AM3" s="111" t="s">
        <v>458</v>
      </c>
      <c r="AN3" s="111" t="s">
        <v>459</v>
      </c>
      <c r="AP3" s="111" t="s">
        <v>461</v>
      </c>
      <c r="AQ3" s="111" t="s">
        <v>462</v>
      </c>
      <c r="AR3" s="111" t="s">
        <v>463</v>
      </c>
      <c r="AS3" s="111" t="s">
        <v>461</v>
      </c>
      <c r="AT3" s="111" t="s">
        <v>462</v>
      </c>
      <c r="AU3" s="111" t="s">
        <v>463</v>
      </c>
      <c r="AV3" s="111" t="s">
        <v>461</v>
      </c>
      <c r="AW3" s="111" t="s">
        <v>462</v>
      </c>
      <c r="AX3" s="111" t="s">
        <v>463</v>
      </c>
      <c r="AY3" s="111" t="s">
        <v>461</v>
      </c>
      <c r="AZ3" s="111" t="s">
        <v>462</v>
      </c>
      <c r="BA3" s="111" t="s">
        <v>463</v>
      </c>
      <c r="BB3" s="111" t="s">
        <v>461</v>
      </c>
      <c r="BC3" s="111" t="s">
        <v>462</v>
      </c>
      <c r="BD3" s="111" t="s">
        <v>463</v>
      </c>
      <c r="BF3" s="111" t="s">
        <v>461</v>
      </c>
      <c r="BG3" s="111" t="s">
        <v>462</v>
      </c>
      <c r="BH3" s="111" t="s">
        <v>463</v>
      </c>
      <c r="BI3" s="111" t="s">
        <v>461</v>
      </c>
      <c r="BJ3" s="111" t="s">
        <v>462</v>
      </c>
      <c r="BK3" s="111" t="s">
        <v>463</v>
      </c>
      <c r="BL3" s="111" t="s">
        <v>461</v>
      </c>
      <c r="BM3" s="111" t="s">
        <v>462</v>
      </c>
      <c r="BN3" s="111" t="s">
        <v>463</v>
      </c>
      <c r="BO3" s="111"/>
      <c r="BP3" s="111"/>
      <c r="BQ3" s="115" t="s">
        <v>461</v>
      </c>
      <c r="BR3" s="115" t="s">
        <v>462</v>
      </c>
      <c r="BS3" s="115" t="s">
        <v>463</v>
      </c>
      <c r="BT3" s="115" t="s">
        <v>461</v>
      </c>
      <c r="BU3" s="115" t="s">
        <v>462</v>
      </c>
      <c r="BV3" s="115" t="s">
        <v>463</v>
      </c>
      <c r="BW3" s="115" t="s">
        <v>461</v>
      </c>
      <c r="BX3" s="115" t="s">
        <v>462</v>
      </c>
      <c r="BY3" s="115" t="s">
        <v>463</v>
      </c>
      <c r="BZ3" s="115" t="s">
        <v>461</v>
      </c>
      <c r="CA3" s="115" t="s">
        <v>462</v>
      </c>
      <c r="CB3" s="115" t="s">
        <v>463</v>
      </c>
      <c r="CC3" s="115" t="s">
        <v>461</v>
      </c>
      <c r="CD3" s="115" t="s">
        <v>462</v>
      </c>
      <c r="CE3" s="115" t="s">
        <v>463</v>
      </c>
      <c r="CF3" s="115" t="s">
        <v>461</v>
      </c>
      <c r="CG3" s="115" t="s">
        <v>462</v>
      </c>
      <c r="CH3" s="115" t="s">
        <v>463</v>
      </c>
      <c r="CI3" s="115" t="s">
        <v>461</v>
      </c>
      <c r="CJ3" s="115" t="s">
        <v>462</v>
      </c>
      <c r="CK3" s="115" t="s">
        <v>463</v>
      </c>
      <c r="CL3" s="115" t="s">
        <v>461</v>
      </c>
      <c r="CM3" s="115" t="s">
        <v>462</v>
      </c>
      <c r="CN3" s="115" t="s">
        <v>463</v>
      </c>
      <c r="CO3" s="115" t="s">
        <v>461</v>
      </c>
      <c r="CP3" s="115" t="s">
        <v>462</v>
      </c>
      <c r="CQ3" s="115" t="s">
        <v>463</v>
      </c>
      <c r="CR3" s="115" t="s">
        <v>461</v>
      </c>
      <c r="CS3" s="115" t="s">
        <v>462</v>
      </c>
      <c r="CT3" s="115" t="s">
        <v>463</v>
      </c>
      <c r="CU3" s="115" t="s">
        <v>461</v>
      </c>
      <c r="CV3" s="115" t="s">
        <v>462</v>
      </c>
      <c r="CW3" s="115" t="s">
        <v>463</v>
      </c>
      <c r="CX3" s="115" t="s">
        <v>461</v>
      </c>
      <c r="CY3" s="115" t="s">
        <v>462</v>
      </c>
      <c r="CZ3" s="115" t="s">
        <v>463</v>
      </c>
      <c r="DA3" s="115" t="s">
        <v>461</v>
      </c>
      <c r="DB3" s="115" t="s">
        <v>462</v>
      </c>
      <c r="DC3" s="115" t="s">
        <v>463</v>
      </c>
      <c r="DD3" s="115" t="s">
        <v>461</v>
      </c>
      <c r="DE3" s="115" t="s">
        <v>462</v>
      </c>
      <c r="DF3" s="115" t="s">
        <v>463</v>
      </c>
      <c r="DG3" s="115" t="s">
        <v>461</v>
      </c>
      <c r="DH3" s="115" t="s">
        <v>462</v>
      </c>
      <c r="DI3" s="115" t="s">
        <v>463</v>
      </c>
    </row>
    <row r="4" spans="1:113" x14ac:dyDescent="0.25">
      <c r="A4" s="109" t="s">
        <v>0</v>
      </c>
      <c r="B4" s="109" t="s">
        <v>1</v>
      </c>
      <c r="C4" s="109" t="s">
        <v>2</v>
      </c>
      <c r="D4" s="109" t="s">
        <v>3</v>
      </c>
      <c r="E4" s="109" t="s">
        <v>4</v>
      </c>
      <c r="F4" s="109" t="s">
        <v>167</v>
      </c>
      <c r="G4" s="109" t="s">
        <v>168</v>
      </c>
      <c r="H4" s="109" t="s">
        <v>7</v>
      </c>
      <c r="I4" s="109" t="s">
        <v>169</v>
      </c>
      <c r="J4" s="109" t="s">
        <v>170</v>
      </c>
      <c r="K4" s="109" t="s">
        <v>171</v>
      </c>
      <c r="L4" s="109" t="s">
        <v>172</v>
      </c>
      <c r="M4" s="109" t="s">
        <v>467</v>
      </c>
      <c r="N4" s="109" t="s">
        <v>479</v>
      </c>
      <c r="O4" s="111" t="s">
        <v>457</v>
      </c>
      <c r="P4" s="111" t="s">
        <v>458</v>
      </c>
      <c r="Q4" s="111" t="s">
        <v>453</v>
      </c>
      <c r="R4" s="111" t="s">
        <v>454</v>
      </c>
      <c r="S4" s="111" t="s">
        <v>455</v>
      </c>
      <c r="T4" s="111" t="s">
        <v>457</v>
      </c>
      <c r="U4" s="111" t="s">
        <v>458</v>
      </c>
      <c r="V4" s="111" t="s">
        <v>459</v>
      </c>
      <c r="W4" s="111" t="s">
        <v>461</v>
      </c>
      <c r="X4" s="111" t="s">
        <v>462</v>
      </c>
      <c r="Y4" s="111" t="s">
        <v>463</v>
      </c>
    </row>
    <row r="5" spans="1:113" x14ac:dyDescent="0.25">
      <c r="A5" s="109">
        <v>1</v>
      </c>
      <c r="B5" s="109">
        <v>4</v>
      </c>
      <c r="C5" s="109" t="s">
        <v>173</v>
      </c>
      <c r="D5" s="109" t="s">
        <v>19</v>
      </c>
      <c r="E5" s="109" t="s">
        <v>20</v>
      </c>
      <c r="F5" s="109">
        <v>129</v>
      </c>
      <c r="G5" s="109">
        <v>1110</v>
      </c>
      <c r="H5" s="109">
        <v>1</v>
      </c>
      <c r="I5" s="109" t="s">
        <v>21</v>
      </c>
      <c r="J5" s="109" t="s">
        <v>174</v>
      </c>
      <c r="K5" s="109" t="s">
        <v>175</v>
      </c>
      <c r="L5" s="109">
        <v>4.5</v>
      </c>
      <c r="M5" s="109">
        <f>RANK(L5, $L$5:$L$18,1)</f>
        <v>2</v>
      </c>
      <c r="N5" s="109" t="s">
        <v>468</v>
      </c>
      <c r="O5" t="str">
        <f>IF(AND($L5&gt;=1, $L5&lt;=4), "1-4", "No")</f>
        <v>No</v>
      </c>
      <c r="P5" t="str">
        <f>IF(AND($L5&gt;=5, $L5&lt;=10), "5-10", "No")</f>
        <v>No</v>
      </c>
      <c r="Q5" t="str">
        <f>IF(AND($L5&gt;=11, $L5&lt;=20), "11-20", "No")</f>
        <v>No</v>
      </c>
      <c r="R5" t="str">
        <f>IF(AND($L5&gt;=20, $L5&lt;=30), "20-30", "No")</f>
        <v>No</v>
      </c>
      <c r="S5" t="e">
        <f>IF(AND(BS14), "&gt;30", "No")</f>
        <v>#VALUE!</v>
      </c>
      <c r="T5" t="str">
        <f>IF(AND($H5&gt;=1, $H5&lt;=6), "1-4", "No")</f>
        <v>1-4</v>
      </c>
      <c r="U5" t="str">
        <f>IF(AND($H5&gt;=5, $H5&lt;=10), "5-10", "No")</f>
        <v>No</v>
      </c>
      <c r="V5" t="str">
        <f>IF(AND($H5&gt;=11, $H5&lt;=12), "11-12", "No")</f>
        <v>No</v>
      </c>
      <c r="W5" t="str">
        <f>IF(AND($F5&gt;=0, $F5&lt;=117), "0-117", "No")</f>
        <v>No</v>
      </c>
      <c r="X5" t="str">
        <f>IF(AND($F5&gt;=118, $F5&lt;=127), "118-127", "No")</f>
        <v>No</v>
      </c>
      <c r="Y5" t="str">
        <f>IF(AND($F5&gt;=128, $F5&lt;=999), "&gt;128", "No")</f>
        <v>&gt;128</v>
      </c>
      <c r="Z5" t="str">
        <f>IF(AND($L5&gt;=1, $L5&lt;=4, $H5&gt;=1, $H5&lt;=4), "Yes", "No")</f>
        <v>No</v>
      </c>
      <c r="AA5" t="str">
        <f>IF(AND($L5&gt;=1, $L5&lt;=4, $H5&gt;=5, $H5&lt;=10), "Yes", "No")</f>
        <v>No</v>
      </c>
      <c r="AB5" t="str">
        <f>IF(AND($L5&gt;=1, $L5&lt;=4, $H5&gt;=11, $H5&lt;=12), "Yes", "No")</f>
        <v>No</v>
      </c>
      <c r="AC5" t="str">
        <f>IF(AND($L5&gt;=4, $L5&lt;=10, $H5&gt;=1, $H5&lt;=4), "Yes", "No")</f>
        <v>Yes</v>
      </c>
      <c r="AD5" t="str">
        <f>IF(AND($L5&gt;=4, $L5&lt;=10, $H5&gt;=5, $H5&lt;=10), "Yes", "No")</f>
        <v>No</v>
      </c>
      <c r="AE5" t="str">
        <f>IF(AND($L5&gt;=4, $L5&lt;=10, $H5&gt;=11, $H5&lt;=12), "Yes", "No")</f>
        <v>No</v>
      </c>
      <c r="AF5" t="str">
        <f>IF(AND($L5&gt;=10, $L5&lt;=20, $H5&gt;=1, $H5&lt;=4), "Yes", "No")</f>
        <v>No</v>
      </c>
      <c r="AG5" t="str">
        <f>IF(AND($L5&gt;=10, $L5&lt;=20, $H5&gt;=5, $H5&lt;=10), "Yes", "No")</f>
        <v>No</v>
      </c>
      <c r="AH5" t="str">
        <f>IF(AND($L5&gt;=10, $L5&lt;=20, $H5&gt;=11, $H5&lt;=12), "Yes", "No")</f>
        <v>No</v>
      </c>
      <c r="AI5" t="str">
        <f>IF(AND($L5&gt;=20, $L5&lt;=30, $H5&gt;=1, $H5&lt;=4), "Yes", "No")</f>
        <v>No</v>
      </c>
      <c r="AJ5" t="str">
        <f>IF(AND($L5&gt;=20, $L5&lt;=30, $H5&gt;=5, $H5&lt;=10), "Yes", "No")</f>
        <v>No</v>
      </c>
      <c r="AK5" t="str">
        <f>IF(AND($L5&gt;=20, $L5&lt;=30, $H5&gt;=11, $H5&lt;=12), "Yes", "No")</f>
        <v>No</v>
      </c>
      <c r="AL5" t="str">
        <f>IF(AND($L5&gt;=30, $L5&lt;=999, $H5&gt;=1, $H5&lt;=4), "Yes", "No")</f>
        <v>No</v>
      </c>
      <c r="AM5" t="str">
        <f>IF(AND($L5&gt;=30, $L5&lt;=999, $H5&gt;=5, $H5&lt;=10), "Yes", "No")</f>
        <v>No</v>
      </c>
      <c r="AN5" t="str">
        <f>IF(AND($L5&gt;=30, $L5&lt;=999, $H5&gt;=11, $H5&lt;=12), "Yes", "No")</f>
        <v>No</v>
      </c>
      <c r="AP5" t="str">
        <f>IF(AND($L5&gt;=1, $L5&lt;=4, $F5&gt;=0, $F5&lt;=117), "Yes", "No")</f>
        <v>No</v>
      </c>
      <c r="AQ5" t="str">
        <f>IF(AND($L5&gt;=1, $L5&lt;=4, $F5&gt;=118, $F5&lt;=127), "Yes", "No")</f>
        <v>No</v>
      </c>
      <c r="AR5" t="str">
        <f>IF(AND($L5&gt;=1, $L5&lt;=4, $F5&gt;=128, $F5&lt;=200), "Yes", "No")</f>
        <v>No</v>
      </c>
      <c r="AS5" t="str">
        <f>IF(AND($L5&gt;=4, $L5&lt;=10, $F5&gt;=0, $F5&lt;=117), "Yes", "No")</f>
        <v>No</v>
      </c>
      <c r="AT5" t="str">
        <f>IF(AND($L5&gt;=4, $L5&lt;=10, $F5&gt;=118, $F5&lt;=127), "Yes", "No")</f>
        <v>No</v>
      </c>
      <c r="AU5" t="str">
        <f>IF(AND($L5&gt;=4, $L5&lt;=10, $F5&gt;=128, $F5&lt;=200), "Yes", "No")</f>
        <v>Yes</v>
      </c>
      <c r="AV5" t="str">
        <f>IF(AND($L5&gt;=10, $L5&lt;=20, $F5&gt;=0, $F5&lt;=117), "Yes", "No")</f>
        <v>No</v>
      </c>
      <c r="AW5" t="str">
        <f>IF(AND($L5&gt;=10, $L5&lt;=20, $F5&gt;=118, $F5&lt;=127), "Yes", "No")</f>
        <v>No</v>
      </c>
      <c r="AX5" t="str">
        <f>IF(AND($L5&gt;=10, $L5&lt;=20, $F5&gt;=128, $F5&lt;=200), "Yes", "No")</f>
        <v>No</v>
      </c>
      <c r="AY5" t="str">
        <f>IF(AND($L5&gt;=20, $L5&lt;=30, $F5&gt;=0, $F5&lt;=117), "Yes", "No")</f>
        <v>No</v>
      </c>
      <c r="AZ5" t="str">
        <f>IF(AND($L5&gt;=20, $L5&lt;=30, $F5&gt;=118, $F5&lt;=127), "Yes", "No")</f>
        <v>No</v>
      </c>
      <c r="BA5" t="str">
        <f>IF(AND($L5&gt;=20, $L5&lt;=30, $F5&gt;=128, $F5&lt;=200), "Yes", "No")</f>
        <v>No</v>
      </c>
      <c r="BB5" t="str">
        <f>IF(AND($L5&gt;=30, $L5&lt;=999, $F5&gt;=0, $F5&lt;=117), "Yes", "No")</f>
        <v>No</v>
      </c>
      <c r="BC5" t="str">
        <f>IF(AND($L5&gt;=30, $L5&lt;=999, $F5&gt;=118, $F5&lt;=127), "Yes", "No")</f>
        <v>No</v>
      </c>
      <c r="BD5" t="str">
        <f>IF(AND($L5&gt;=30, $L5&lt;=999, $F5&gt;=128, $F5&lt;=200), "Yes", "No")</f>
        <v>No</v>
      </c>
      <c r="BF5" t="str">
        <f>IF(AND($H5&gt;=1, $H5&lt;=4, $F5&gt;=0, $F5&lt;=117), "Yes", "No")</f>
        <v>No</v>
      </c>
      <c r="BG5" t="str">
        <f>IF(AND($H5&gt;=1, $H5&lt;=4, $F5&gt;=118, $F5&lt;=127), "Yes", "No")</f>
        <v>No</v>
      </c>
      <c r="BH5" t="str">
        <f>IF(AND($H5&gt;=1, $H5&lt;=4, $F5&gt;=128, $F5&lt;=200), "Yes", "No")</f>
        <v>Yes</v>
      </c>
      <c r="BI5" t="str">
        <f>IF(AND($H5&gt;=5, $H5&lt;=10, $F5&gt;=0, $F5&lt;=117), "Yes", "No")</f>
        <v>No</v>
      </c>
      <c r="BJ5" t="str">
        <f>IF(AND($H5&gt;=5, $H5&lt;=10, $F5&gt;=118, $F5&lt;=127), "Yes", "No")</f>
        <v>No</v>
      </c>
      <c r="BK5" t="str">
        <f>IF(AND($H5&gt;=5, $H5&lt;=10, $F5&gt;=128, $F5&lt;=200), "Yes", "No")</f>
        <v>No</v>
      </c>
      <c r="BL5" t="str">
        <f>IF(AND($H5&gt;=11, $H5&lt;=12, $F5&gt;=0, $F5&lt;=117), "Yes", "No")</f>
        <v>No</v>
      </c>
      <c r="BM5" t="str">
        <f>IF(AND($H5&gt;=11, $H5&lt;=12, $F5&gt;=118, $F5&lt;=127), "Yes", "No")</f>
        <v>No</v>
      </c>
      <c r="BN5" t="str">
        <f>IF(AND($H5&gt;=11, $H5&lt;=12, $F5&gt;=128, $F5&lt;=200), "Yes", "No")</f>
        <v>No</v>
      </c>
      <c r="BQ5" t="str">
        <f>IF(AND($L5&gt;=1, $L5&lt;=4, $H5&gt;=1, $H5&lt;=4,$F5&gt;=0,$F5&lt;=117), "Yes", "No")</f>
        <v>No</v>
      </c>
      <c r="BR5" t="str">
        <f>IF(AND($L5&gt;=1, $L5&lt;=4, $H5&gt;=1, $H5&lt;=4,$F5&gt;=118, $F5&lt;=127), "Yes", "No")</f>
        <v>No</v>
      </c>
      <c r="BS5" t="str">
        <f>IF(AND($L5&gt;=1, $L5&lt;=4, $H5&gt;=1, $H5&lt;=4,$F5&gt;=128, $F5&lt;=999), "Yes", "No")</f>
        <v>No</v>
      </c>
      <c r="BT5" t="str">
        <f>IF(AND($L5&gt;=1, $L5&lt;=4, $H5&gt;=5, $H5&lt;=10,$F5&gt;=0,$F5&lt;=117), "Yes", "No")</f>
        <v>No</v>
      </c>
      <c r="BU5" t="str">
        <f>IF(AND($L5&gt;=1, $L5&lt;=4, $H5&gt;=5, $H5&lt;=10,$F5&gt;=118, $F5&lt;=127), "Yes", "No")</f>
        <v>No</v>
      </c>
      <c r="BV5" t="str">
        <f>IF(AND($L5&gt;=1, $L5&lt;=4, $H5&gt;=5, $H5&lt;=10,$F5&gt;=128, $F5&lt;=999), "Yes", "No")</f>
        <v>No</v>
      </c>
      <c r="BW5" t="str">
        <f>IF(AND($L5&gt;=1, $L5&lt;=4, $H5&gt;=11, $H5&lt;=12,$F5&gt;=0,$F5&lt;=117), "Yes", "No")</f>
        <v>No</v>
      </c>
      <c r="BX5" t="str">
        <f>IF(AND($L5&gt;=1, $L5&lt;=4, $H5&gt;=11, $H5&lt;=12,$F5&gt;=118, $F5&lt;=127), "Yes", "No")</f>
        <v>No</v>
      </c>
      <c r="BY5" t="str">
        <f>IF(AND($L5&gt;=1, $L5&lt;=4, $H5&gt;=11, $H5&lt;=12,$F5&gt;=128, $F5&lt;=999), "Yes", "No")</f>
        <v>No</v>
      </c>
      <c r="BZ5" t="str">
        <f>IF(AND($L5&gt;=5, $L5&lt;=10, $H5&gt;=1, $H5&lt;=4,$F5&gt;=0,$F5&lt;=117), "Yes", "No")</f>
        <v>No</v>
      </c>
      <c r="CA5" t="str">
        <f>IF(AND($L5&gt;=5, $L5&lt;=10, $H5&gt;=1, $H5&lt;=4,$F5&gt;=118, $F5&lt;=127), "Yes", "No")</f>
        <v>No</v>
      </c>
      <c r="CB5" t="str">
        <f>IF(AND($L5&gt;=5, $L5&lt;=10, $H5&gt;=1, $H5&lt;=4,$F5&gt;=128, $F5&lt;=999), "Yes", "No")</f>
        <v>No</v>
      </c>
      <c r="CC5" t="str">
        <f>IF(AND($L5&gt;=5, $L5&lt;=10, $H5&gt;=5, $H5&lt;=10,$F5&gt;=0,$F5&lt;=117), "Yes", "No")</f>
        <v>No</v>
      </c>
      <c r="CD5" t="str">
        <f>IF(AND($L5&gt;=5, $L5&lt;=10, $H5&gt;=5, $H5&lt;=10,$F5&gt;=118, $F5&lt;=127), "Yes", "No")</f>
        <v>No</v>
      </c>
      <c r="CE5" t="str">
        <f>IF(AND($L5&gt;=5, $L5&lt;=10, $H5&gt;=5, $H5&lt;=10,$F5&gt;=128, $F5&lt;=999), "Yes", "No")</f>
        <v>No</v>
      </c>
      <c r="CF5" t="str">
        <f>IF(AND($L5&gt;=5, $L5&lt;=10, $H5&gt;=11, $H5&lt;=12,$F5&gt;=0,$F5&lt;=117), "Yes", "No")</f>
        <v>No</v>
      </c>
      <c r="CG5" t="str">
        <f>IF(AND($L5&gt;=5, $L5&lt;=10, $H5&gt;=11, $H5&lt;=12,$F5&gt;=118, $F5&lt;=127), "Yes", "No")</f>
        <v>No</v>
      </c>
      <c r="CH5" t="str">
        <f>IF(AND($L5&gt;=5, $L5&lt;=10, $H5&gt;=11, $H5&lt;=12,$F5&gt;=128, $F5&lt;=999), "Yes", "No")</f>
        <v>No</v>
      </c>
      <c r="CI5" t="str">
        <f>IF(AND($L5&gt;=11, $L5&lt;=20, $H5&gt;=1, $H5&lt;=4,$F5&gt;=0,$F5&lt;=117), "Yes", "No")</f>
        <v>No</v>
      </c>
      <c r="CJ5" t="str">
        <f>IF(AND($L5&gt;=11, $L5&lt;=20, $H5&gt;=1, $H5&lt;=4,$F5&gt;=118, $F5&lt;=127), "Yes", "No")</f>
        <v>No</v>
      </c>
      <c r="CK5" t="str">
        <f>IF(AND($L5&gt;=11, $L5&lt;=20, $H5&gt;=1, $H5&lt;=4,$F5&gt;=128, $F5&lt;=999), "Yes", "No")</f>
        <v>No</v>
      </c>
      <c r="CL5" t="str">
        <f>IF(AND($L5&gt;=11, $L5&lt;=20, $H5&gt;=5, $H5&lt;=10,$F5&gt;=0,$F5&lt;=117), "Yes", "No")</f>
        <v>No</v>
      </c>
      <c r="CM5" t="str">
        <f>IF(AND($L5&gt;=11, $L5&lt;=20, $H5&gt;=5, $H5&lt;=10,$F5&gt;=118, $F5&lt;=127), "Yes", "No")</f>
        <v>No</v>
      </c>
      <c r="CN5" t="str">
        <f>IF(AND($L5&gt;=11, $L5&lt;=20, $H5&gt;=5, $H5&lt;=10,$F5&gt;=128, $F5&lt;=999), "Yes", "No")</f>
        <v>No</v>
      </c>
      <c r="CO5" t="str">
        <f>IF(AND($L5&gt;=11, $L5&lt;=20,  $H5&gt;=11, $H5&lt;=12,$F5&gt;=0,$F5&lt;=117), "Yes", "No")</f>
        <v>No</v>
      </c>
      <c r="CP5" t="str">
        <f>IF(AND($L5&gt;=11, $L5&lt;=20,  $H5&gt;=11, $H5&lt;=12,$F5&gt;=118, $F5&lt;=127), "Yes", "No")</f>
        <v>No</v>
      </c>
      <c r="CQ5" t="str">
        <f>IF(AND($L5&gt;=11, $L5&lt;=20,  $H5&gt;=11, $H5&lt;=12,$F5&gt;=128, $F5&lt;=999), "Yes", "No")</f>
        <v>No</v>
      </c>
      <c r="CR5" t="str">
        <f>IF(AND($L5&gt;=20, $L5&lt;=30, $H5&gt;=1, $H5&lt;=4,$F5&gt;=0,$F5&lt;=117), "Yes", "No")</f>
        <v>No</v>
      </c>
      <c r="CS5" t="str">
        <f>IF(AND($L5&gt;=20, $L5&lt;=30, $H5&gt;=1, $H5&lt;=4,$F5&gt;=118, $F5&lt;=127), "Yes", "No")</f>
        <v>No</v>
      </c>
      <c r="CT5" t="str">
        <f>IF(AND($L5&gt;=20, $L5&lt;=30, $H5&gt;=1, $H5&lt;=4,$F5&gt;=128, $F5&lt;=999), "Yes", "No")</f>
        <v>No</v>
      </c>
      <c r="CU5" t="str">
        <f>IF(AND($L5&gt;=20, $L5&lt;=30, $H5&gt;=5, $H5&lt;=10,$F5&gt;=0,$F5&lt;=117), "Yes", "No")</f>
        <v>No</v>
      </c>
      <c r="CV5" t="str">
        <f>IF(AND($L5&gt;=20, $L5&lt;=30, $H5&gt;=5, $H5&lt;=10,$F5&gt;=118, $F5&lt;=127), "Yes", "No")</f>
        <v>No</v>
      </c>
      <c r="CW5" t="str">
        <f>IF(AND($L5&gt;=20, $L5&lt;=30, $H5&gt;=5, $H5&lt;=10,$F5&gt;=128, $F5&lt;=999), "Yes", "No")</f>
        <v>No</v>
      </c>
      <c r="CX5" t="str">
        <f>IF(AND($L5&gt;=20, $L5&lt;=30, $H5&gt;=11, $H5&lt;=12,$F5&gt;=0,$F5&lt;=117), "Yes", "No")</f>
        <v>No</v>
      </c>
      <c r="CY5" t="str">
        <f>IF(AND($L5&gt;=20, $L5&lt;=30, $H5&gt;=11, $H5&lt;=12,$F5&gt;=118, $F5&lt;=127), "Yes", "No")</f>
        <v>No</v>
      </c>
      <c r="CZ5" t="str">
        <f>IF(AND($L5&gt;=20, $L5&lt;=30, $H5&gt;=11, $H5&lt;=12,$F5&gt;=128, $F5&lt;=999), "Yes", "No")</f>
        <v>No</v>
      </c>
      <c r="DA5" t="str">
        <f>IF(AND($L5&gt;=30, $L5&lt;=999, $H5&gt;=1, $H5&lt;=4,$F5&gt;=0,$F5&lt;=117), "Yes", "No")</f>
        <v>No</v>
      </c>
      <c r="DB5" t="str">
        <f>IF(AND($L5&gt;=30, $L5&lt;=999, $H5&gt;=1, $H5&lt;=4,$F5&gt;=118, $F5&lt;=127), "Yes", "No")</f>
        <v>No</v>
      </c>
      <c r="DC5" t="str">
        <f>IF(AND($L5&gt;=30, $L5&lt;=999, $H5&gt;=1, $H5&lt;=4,$F5&gt;=128, $F5&lt;=999), "Yes", "No")</f>
        <v>No</v>
      </c>
      <c r="DD5" t="str">
        <f>IF(AND($L5&gt;=30, $L5&lt;=999,  $H5&gt;=5, $H5&lt;=10,$F5&gt;=0,$F5&lt;=117), "Yes", "No")</f>
        <v>No</v>
      </c>
      <c r="DE5" t="str">
        <f>IF(AND($L5&gt;=30, $L5&lt;=999,  $H5&gt;=5, $H5&lt;=10,$F5&gt;=118, $F5&lt;=127), "Yes", "No")</f>
        <v>No</v>
      </c>
      <c r="DF5" t="str">
        <f>IF(AND($L5&gt;=30, $L5&lt;=999,  $H5&gt;=5, $H5&lt;=10,$F5&gt;=128, $F5&lt;=999), "Yes", "No")</f>
        <v>No</v>
      </c>
      <c r="DG5" t="str">
        <f>IF(AND($L5&gt;=30, $L5&lt;=999, $H5&gt;=11, $H5&lt;=12,$F5&gt;=0,$F5&lt;=117), "Yes", "No")</f>
        <v>No</v>
      </c>
      <c r="DH5" t="str">
        <f>IF(AND($L5&gt;=30, $L5&lt;=999,  $H5&gt;=11, $H5&lt;=12,$F5&gt;=118, $F5&lt;=127), "Yes", "No")</f>
        <v>No</v>
      </c>
      <c r="DI5" t="str">
        <f>IF(AND($L5&gt;=30, $L5&lt;=999,  $H5&gt;=11, $H5&lt;=12,$F5&gt;=128, $F5&lt;=999), "Yes", "No")</f>
        <v>No</v>
      </c>
    </row>
    <row r="6" spans="1:113" x14ac:dyDescent="0.25">
      <c r="A6" s="109">
        <v>2</v>
      </c>
      <c r="B6" s="109">
        <v>11</v>
      </c>
      <c r="C6" s="109" t="s">
        <v>176</v>
      </c>
      <c r="D6" s="109" t="s">
        <v>23</v>
      </c>
      <c r="E6" s="109" t="s">
        <v>24</v>
      </c>
      <c r="F6" s="109">
        <v>120</v>
      </c>
      <c r="G6" s="109">
        <v>1064</v>
      </c>
      <c r="H6" s="109">
        <v>3</v>
      </c>
      <c r="I6" s="109" t="s">
        <v>25</v>
      </c>
      <c r="J6" s="109" t="s">
        <v>177</v>
      </c>
      <c r="K6" s="109" t="s">
        <v>178</v>
      </c>
      <c r="L6" s="109">
        <v>3.8</v>
      </c>
      <c r="M6" s="109">
        <f t="shared" ref="M6:M18" si="0">RANK(L6, $L$5:$L$18,1)</f>
        <v>1</v>
      </c>
      <c r="N6" s="109" t="s">
        <v>468</v>
      </c>
      <c r="O6" t="str">
        <f t="shared" ref="O6:O8" si="1">IF(AND($L6&gt;=1, $L6&lt;=4), "1-4", "No")</f>
        <v>1-4</v>
      </c>
      <c r="P6" t="str">
        <f t="shared" ref="P6:P8" si="2">IF(AND($L6&gt;=5, $L6&lt;=10), "5-10", "No")</f>
        <v>No</v>
      </c>
      <c r="Q6" t="str">
        <f t="shared" ref="Q6:Q8" si="3">IF(AND($L6&gt;=11, $L6&lt;=20), "11-20", "No")</f>
        <v>No</v>
      </c>
      <c r="R6" t="str">
        <f t="shared" ref="R6:R8" si="4">IF(AND($L6&gt;=20, $L6&lt;=30), "20-30", "No")</f>
        <v>No</v>
      </c>
      <c r="S6" t="str">
        <f t="shared" ref="S6:S8" si="5">IF(AND($L6&gt;=30, $L6&lt;=999), "&gt;30", "No")</f>
        <v>No</v>
      </c>
      <c r="T6" t="str">
        <f t="shared" ref="T6:T8" si="6">IF(AND($H6&gt;=1, $H6&lt;=6), "1-4", "No")</f>
        <v>1-4</v>
      </c>
      <c r="U6" t="str">
        <f t="shared" ref="U6:U8" si="7">IF(AND($H6&gt;=5, $H6&lt;=10), "5-10", "No")</f>
        <v>No</v>
      </c>
      <c r="V6" t="str">
        <f t="shared" ref="V6:V8" si="8">IF(AND($H6&gt;=11, $H6&lt;=12), "11-12", "No")</f>
        <v>No</v>
      </c>
      <c r="W6" t="str">
        <f t="shared" ref="W6:W8" si="9">IF(AND($F6&gt;=0, $F6&lt;=117), "0-117", "No")</f>
        <v>No</v>
      </c>
      <c r="X6" t="str">
        <f t="shared" ref="X6:X8" si="10">IF(AND($F6&gt;=118, $F6&lt;=127), "118-127", "No")</f>
        <v>118-127</v>
      </c>
      <c r="Y6" t="str">
        <f t="shared" ref="Y6:Y8" si="11">IF(AND($F6&gt;=128, $F6&lt;=999), "&gt;128", "No")</f>
        <v>No</v>
      </c>
      <c r="Z6" t="str">
        <f t="shared" ref="Z6:Z69" si="12">IF(AND($L6&gt;=1, $L6&lt;=4, $H6&gt;=1, $H6&lt;=4), "Yes", "No")</f>
        <v>Yes</v>
      </c>
      <c r="AA6" t="str">
        <f t="shared" ref="AA6:AA69" si="13">IF(AND($L6&gt;=1, $L6&lt;=4, $H6&gt;=5, $H6&lt;=10), "Yes", "No")</f>
        <v>No</v>
      </c>
      <c r="AB6" t="str">
        <f t="shared" ref="AB6:AB69" si="14">IF(AND($L6&gt;=1, $L6&lt;=4, $H6&gt;=11, $H6&lt;=12), "Yes", "No")</f>
        <v>No</v>
      </c>
      <c r="AC6" t="str">
        <f t="shared" ref="AC6:AC69" si="15">IF(AND($L6&gt;=4, $L6&lt;=10, $H6&gt;=1, $H6&lt;=4), "Yes", "No")</f>
        <v>No</v>
      </c>
      <c r="AD6" t="str">
        <f t="shared" ref="AD6:AD69" si="16">IF(AND($L6&gt;=4, $L6&lt;=10, $H6&gt;=5, $H6&lt;=10), "Yes", "No")</f>
        <v>No</v>
      </c>
      <c r="AE6" t="str">
        <f t="shared" ref="AE6:AE69" si="17">IF(AND($L6&gt;=4, $L6&lt;=10, $H6&gt;=11, $H6&lt;=12), "Yes", "No")</f>
        <v>No</v>
      </c>
      <c r="AF6" t="str">
        <f t="shared" ref="AF6:AF69" si="18">IF(AND($L6&gt;=10, $L6&lt;=20, $H6&gt;=1, $H6&lt;=4), "Yes", "No")</f>
        <v>No</v>
      </c>
      <c r="AG6" t="str">
        <f t="shared" ref="AG6:AG69" si="19">IF(AND($L6&gt;=10, $L6&lt;=20, $H6&gt;=5, $H6&lt;=10), "Yes", "No")</f>
        <v>No</v>
      </c>
      <c r="AH6" t="str">
        <f t="shared" ref="AH6:AH69" si="20">IF(AND($L6&gt;=10, $L6&lt;=20, $H6&gt;=11, $H6&lt;=12), "Yes", "No")</f>
        <v>No</v>
      </c>
      <c r="AI6" t="str">
        <f t="shared" ref="AI6:AI69" si="21">IF(AND($L6&gt;=20, $L6&lt;=30, $H6&gt;=1, $H6&lt;=4), "Yes", "No")</f>
        <v>No</v>
      </c>
      <c r="AJ6" t="str">
        <f t="shared" ref="AJ6:AJ69" si="22">IF(AND($L6&gt;=20, $L6&lt;=30, $H6&gt;=5, $H6&lt;=10), "Yes", "No")</f>
        <v>No</v>
      </c>
      <c r="AK6" t="str">
        <f t="shared" ref="AK6:AK69" si="23">IF(AND($L6&gt;=20, $L6&lt;=30, $H6&gt;=11, $H6&lt;=12), "Yes", "No")</f>
        <v>No</v>
      </c>
      <c r="AL6" t="str">
        <f t="shared" ref="AL6:AL69" si="24">IF(AND($L6&gt;=30, $L6&lt;=999, $H6&gt;=1, $H6&lt;=4), "Yes", "No")</f>
        <v>No</v>
      </c>
      <c r="AM6" t="str">
        <f t="shared" ref="AM6:AM69" si="25">IF(AND($L6&gt;=30, $L6&lt;=999, $H6&gt;=5, $H6&lt;=10), "Yes", "No")</f>
        <v>No</v>
      </c>
      <c r="AN6" t="str">
        <f t="shared" ref="AN6:AN69" si="26">IF(AND($L6&gt;=30, $L6&lt;=999, $H6&gt;=11, $H6&lt;=12), "Yes", "No")</f>
        <v>No</v>
      </c>
      <c r="AP6" t="str">
        <f t="shared" ref="AP6:AP69" si="27">IF(AND($L6&gt;=1, $L6&lt;=4, $F6&gt;=0, $F6&lt;=117), "Yes", "No")</f>
        <v>No</v>
      </c>
      <c r="AQ6" t="str">
        <f t="shared" ref="AQ6:AQ69" si="28">IF(AND($L6&gt;=1, $L6&lt;=4, $F6&gt;=118, $F6&lt;=127), "Yes", "No")</f>
        <v>Yes</v>
      </c>
      <c r="AR6" t="str">
        <f t="shared" ref="AR6:AR69" si="29">IF(AND($L6&gt;=1, $L6&lt;=4, $F6&gt;=128, $F6&lt;=200), "Yes", "No")</f>
        <v>No</v>
      </c>
      <c r="AS6" t="str">
        <f t="shared" ref="AS6:AS69" si="30">IF(AND($L6&gt;=4, $L6&lt;=10, $F6&gt;=0, $F6&lt;=117), "Yes", "No")</f>
        <v>No</v>
      </c>
      <c r="AT6" t="str">
        <f t="shared" ref="AT6:AT69" si="31">IF(AND($L6&gt;=4, $L6&lt;=10, $F6&gt;=118, $F6&lt;=127), "Yes", "No")</f>
        <v>No</v>
      </c>
      <c r="AU6" t="str">
        <f t="shared" ref="AU6:AU69" si="32">IF(AND($L6&gt;=4, $L6&lt;=10, $F6&gt;=128, $F6&lt;=200), "Yes", "No")</f>
        <v>No</v>
      </c>
      <c r="AV6" t="str">
        <f t="shared" ref="AV6:AV69" si="33">IF(AND($L6&gt;=10, $L6&lt;=20, $F6&gt;=0, $F6&lt;=117), "Yes", "No")</f>
        <v>No</v>
      </c>
      <c r="AW6" t="str">
        <f t="shared" ref="AW6:AW69" si="34">IF(AND($L6&gt;=10, $L6&lt;=20, $F6&gt;=118, $F6&lt;=127), "Yes", "No")</f>
        <v>No</v>
      </c>
      <c r="AX6" t="str">
        <f t="shared" ref="AX6:AX69" si="35">IF(AND($L6&gt;=10, $L6&lt;=20, $F6&gt;=128, $F6&lt;=200), "Yes", "No")</f>
        <v>No</v>
      </c>
      <c r="AY6" t="str">
        <f t="shared" ref="AY6:AY69" si="36">IF(AND($L6&gt;=20, $L6&lt;=30, $F6&gt;=0, $F6&lt;=117), "Yes", "No")</f>
        <v>No</v>
      </c>
      <c r="AZ6" t="str">
        <f t="shared" ref="AZ6:AZ69" si="37">IF(AND($L6&gt;=20, $L6&lt;=30, $F6&gt;=118, $F6&lt;=127), "Yes", "No")</f>
        <v>No</v>
      </c>
      <c r="BA6" t="str">
        <f t="shared" ref="BA6:BA69" si="38">IF(AND($L6&gt;=20, $L6&lt;=30, $F6&gt;=128, $F6&lt;=200), "Yes", "No")</f>
        <v>No</v>
      </c>
      <c r="BB6" t="str">
        <f t="shared" ref="BB6:BB69" si="39">IF(AND($L6&gt;=30, $L6&lt;=999, $F6&gt;=0, $F6&lt;=117), "Yes", "No")</f>
        <v>No</v>
      </c>
      <c r="BC6" t="str">
        <f t="shared" ref="BC6:BC69" si="40">IF(AND($L6&gt;=30, $L6&lt;=999, $F6&gt;=118, $F6&lt;=127), "Yes", "No")</f>
        <v>No</v>
      </c>
      <c r="BD6" t="str">
        <f t="shared" ref="BD6:BD69" si="41">IF(AND($L6&gt;=30, $L6&lt;=999, $F6&gt;=128, $F6&lt;=200), "Yes", "No")</f>
        <v>No</v>
      </c>
      <c r="BF6" t="str">
        <f t="shared" ref="BF6:BF69" si="42">IF(AND($H6&gt;=1, $H6&lt;=4, $F6&gt;=0, $F6&lt;=117), "Yes", "No")</f>
        <v>No</v>
      </c>
      <c r="BG6" t="str">
        <f t="shared" ref="BG6:BG69" si="43">IF(AND($H6&gt;=1, $H6&lt;=4, $F6&gt;=118, $F6&lt;=127), "Yes", "No")</f>
        <v>Yes</v>
      </c>
      <c r="BH6" t="str">
        <f t="shared" ref="BH6:BH69" si="44">IF(AND($H6&gt;=1, $H6&lt;=4, $F6&gt;=128, $F6&lt;=200), "Yes", "No")</f>
        <v>No</v>
      </c>
      <c r="BI6" t="str">
        <f t="shared" ref="BI6:BI69" si="45">IF(AND($H6&gt;=5, $H6&lt;=10, $F6&gt;=0, $F6&lt;=117), "Yes", "No")</f>
        <v>No</v>
      </c>
      <c r="BJ6" t="str">
        <f t="shared" ref="BJ6:BJ69" si="46">IF(AND($H6&gt;=5, $H6&lt;=10, $F6&gt;=118, $F6&lt;=127), "Yes", "No")</f>
        <v>No</v>
      </c>
      <c r="BK6" t="str">
        <f t="shared" ref="BK6:BK69" si="47">IF(AND($H6&gt;=5, $H6&lt;=10, $F6&gt;=128, $F6&lt;=200), "Yes", "No")</f>
        <v>No</v>
      </c>
      <c r="BL6" t="str">
        <f t="shared" ref="BL6:BL69" si="48">IF(AND($H6&gt;=11, $H6&lt;=12, $F6&gt;=0, $F6&lt;=117), "Yes", "No")</f>
        <v>No</v>
      </c>
      <c r="BM6" t="str">
        <f t="shared" ref="BM6:BM69" si="49">IF(AND($H6&gt;=11, $H6&lt;=12, $F6&gt;=118, $F6&lt;=127), "Yes", "No")</f>
        <v>No</v>
      </c>
      <c r="BN6" t="str">
        <f t="shared" ref="BN6:BN69" si="50">IF(AND($H6&gt;=11, $H6&lt;=12, $F6&gt;=128, $F6&lt;=200), "Yes", "No")</f>
        <v>No</v>
      </c>
      <c r="BQ6" t="str">
        <f t="shared" ref="BQ6:BQ69" si="51">IF(AND($L6&gt;=1, $L6&lt;=4, $H6&gt;=1, $H6&lt;=4,$F6&gt;=0,$F6&lt;=117), "Yes", "No")</f>
        <v>No</v>
      </c>
      <c r="BR6" t="str">
        <f t="shared" ref="BR6:BR69" si="52">IF(AND($L6&gt;=1, $L6&lt;=4, $H6&gt;=1, $H6&lt;=4,$F6&gt;=118, $F6&lt;=127), "Yes", "No")</f>
        <v>Yes</v>
      </c>
      <c r="BS6" t="str">
        <f t="shared" ref="BS6:BS69" si="53">IF(AND($L6&gt;=1, $L6&lt;=4, $H6&gt;=1, $H6&lt;=4,$F6&gt;=128, $F6&lt;=999), "Yes", "No")</f>
        <v>No</v>
      </c>
      <c r="BT6" t="str">
        <f t="shared" ref="BT6:BT69" si="54">IF(AND($L6&gt;=1, $L6&lt;=4, $H6&gt;=5, $H6&lt;=10,$F6&gt;=0,$F6&lt;=117), "Yes", "No")</f>
        <v>No</v>
      </c>
      <c r="BU6" t="str">
        <f t="shared" ref="BU6:BU69" si="55">IF(AND($L6&gt;=1, $L6&lt;=4, $H6&gt;=5, $H6&lt;=10,$F6&gt;=118, $F6&lt;=127), "Yes", "No")</f>
        <v>No</v>
      </c>
      <c r="BV6" t="str">
        <f t="shared" ref="BV6:BV69" si="56">IF(AND($L6&gt;=1, $L6&lt;=4, $H6&gt;=5, $H6&lt;=10,$F6&gt;=128, $F6&lt;=999), "Yes", "No")</f>
        <v>No</v>
      </c>
      <c r="BW6" t="str">
        <f t="shared" ref="BW6:BW69" si="57">IF(AND($L6&gt;=1, $L6&lt;=4, $H6&gt;=11, $H6&lt;=12,$F6&gt;=0,$F6&lt;=117), "Yes", "No")</f>
        <v>No</v>
      </c>
      <c r="BX6" t="str">
        <f t="shared" ref="BX6:BX69" si="58">IF(AND($L6&gt;=1, $L6&lt;=4, $H6&gt;=11, $H6&lt;=12,$F6&gt;=118, $F6&lt;=127), "Yes", "No")</f>
        <v>No</v>
      </c>
      <c r="BY6" t="str">
        <f t="shared" ref="BY6:BY69" si="59">IF(AND($L6&gt;=1, $L6&lt;=4, $H6&gt;=11, $H6&lt;=12,$F6&gt;=128, $F6&lt;=999), "Yes", "No")</f>
        <v>No</v>
      </c>
      <c r="BZ6" t="str">
        <f t="shared" ref="BZ6:BZ69" si="60">IF(AND($L6&gt;=5, $L6&lt;=10, $H6&gt;=1, $H6&lt;=4,$F6&gt;=0,$F6&lt;=117), "Yes", "No")</f>
        <v>No</v>
      </c>
      <c r="CA6" t="str">
        <f t="shared" ref="CA6:CA69" si="61">IF(AND($L6&gt;=5, $L6&lt;=10, $H6&gt;=1, $H6&lt;=4,$F6&gt;=118, $F6&lt;=127), "Yes", "No")</f>
        <v>No</v>
      </c>
      <c r="CB6" t="str">
        <f t="shared" ref="CB6:CB69" si="62">IF(AND($L6&gt;=5, $L6&lt;=10, $H6&gt;=1, $H6&lt;=4,$F6&gt;=128, $F6&lt;=999), "Yes", "No")</f>
        <v>No</v>
      </c>
      <c r="CC6" t="str">
        <f t="shared" ref="CC6:CC69" si="63">IF(AND($L6&gt;=5, $L6&lt;=10, $H6&gt;=5, $H6&lt;=10,$F6&gt;=0,$F6&lt;=117), "Yes", "No")</f>
        <v>No</v>
      </c>
      <c r="CD6" t="str">
        <f t="shared" ref="CD6:CD69" si="64">IF(AND($L6&gt;=5, $L6&lt;=10, $H6&gt;=5, $H6&lt;=10,$F6&gt;=118, $F6&lt;=127), "Yes", "No")</f>
        <v>No</v>
      </c>
      <c r="CE6" t="str">
        <f t="shared" ref="CE6:CE69" si="65">IF(AND($L6&gt;=5, $L6&lt;=10, $H6&gt;=5, $H6&lt;=10,$F6&gt;=128, $F6&lt;=999), "Yes", "No")</f>
        <v>No</v>
      </c>
      <c r="CF6" t="str">
        <f t="shared" ref="CF6:CF69" si="66">IF(AND($L6&gt;=5, $L6&lt;=10, $H6&gt;=11, $H6&lt;=12,$F6&gt;=0,$F6&lt;=117), "Yes", "No")</f>
        <v>No</v>
      </c>
      <c r="CG6" t="str">
        <f t="shared" ref="CG6:CG69" si="67">IF(AND($L6&gt;=5, $L6&lt;=10, $H6&gt;=11, $H6&lt;=12,$F6&gt;=118, $F6&lt;=127), "Yes", "No")</f>
        <v>No</v>
      </c>
      <c r="CH6" t="str">
        <f t="shared" ref="CH6:CH69" si="68">IF(AND($L6&gt;=5, $L6&lt;=10, $H6&gt;=11, $H6&lt;=12,$F6&gt;=128, $F6&lt;=999), "Yes", "No")</f>
        <v>No</v>
      </c>
      <c r="CI6" t="str">
        <f t="shared" ref="CI6:CI69" si="69">IF(AND($L6&gt;=11, $L6&lt;=20, $H6&gt;=1, $H6&lt;=4,$F6&gt;=0,$F6&lt;=117), "Yes", "No")</f>
        <v>No</v>
      </c>
      <c r="CJ6" t="str">
        <f t="shared" ref="CJ6:CJ69" si="70">IF(AND($L6&gt;=11, $L6&lt;=20, $H6&gt;=1, $H6&lt;=4,$F6&gt;=118, $F6&lt;=127), "Yes", "No")</f>
        <v>No</v>
      </c>
      <c r="CK6" t="str">
        <f t="shared" ref="CK6:CK69" si="71">IF(AND($L6&gt;=11, $L6&lt;=20, $H6&gt;=1, $H6&lt;=4,$F6&gt;=128, $F6&lt;=999), "Yes", "No")</f>
        <v>No</v>
      </c>
      <c r="CL6" t="str">
        <f t="shared" ref="CL6:CL69" si="72">IF(AND($L6&gt;=11, $L6&lt;=20, $H6&gt;=5, $H6&lt;=10,$F6&gt;=0,$F6&lt;=117), "Yes", "No")</f>
        <v>No</v>
      </c>
      <c r="CM6" t="str">
        <f t="shared" ref="CM6:CM69" si="73">IF(AND($L6&gt;=11, $L6&lt;=20, $H6&gt;=5, $H6&lt;=10,$F6&gt;=118, $F6&lt;=127), "Yes", "No")</f>
        <v>No</v>
      </c>
      <c r="CN6" t="str">
        <f t="shared" ref="CN6:CN69" si="74">IF(AND($L6&gt;=11, $L6&lt;=20, $H6&gt;=5, $H6&lt;=10,$F6&gt;=128, $F6&lt;=999), "Yes", "No")</f>
        <v>No</v>
      </c>
      <c r="CO6" t="str">
        <f t="shared" ref="CO6:CO69" si="75">IF(AND($L6&gt;=11, $L6&lt;=20,  $H6&gt;=11, $H6&lt;=12,$F6&gt;=0,$F6&lt;=117), "Yes", "No")</f>
        <v>No</v>
      </c>
      <c r="CP6" t="str">
        <f t="shared" ref="CP6:CP69" si="76">IF(AND($L6&gt;=11, $L6&lt;=20,  $H6&gt;=11, $H6&lt;=12,$F6&gt;=118, $F6&lt;=127), "Yes", "No")</f>
        <v>No</v>
      </c>
      <c r="CQ6" t="str">
        <f t="shared" ref="CQ6:CQ69" si="77">IF(AND($L6&gt;=11, $L6&lt;=20,  $H6&gt;=11, $H6&lt;=12,$F6&gt;=128, $F6&lt;=999), "Yes", "No")</f>
        <v>No</v>
      </c>
      <c r="CR6" t="str">
        <f t="shared" ref="CR6:CR69" si="78">IF(AND($L6&gt;=20, $L6&lt;=30, $H6&gt;=1, $H6&lt;=4,$F6&gt;=0,$F6&lt;=117), "Yes", "No")</f>
        <v>No</v>
      </c>
      <c r="CS6" t="str">
        <f t="shared" ref="CS6:CS69" si="79">IF(AND($L6&gt;=20, $L6&lt;=30, $H6&gt;=1, $H6&lt;=4,$F6&gt;=118, $F6&lt;=127), "Yes", "No")</f>
        <v>No</v>
      </c>
      <c r="CT6" t="str">
        <f t="shared" ref="CT6:CT69" si="80">IF(AND($L6&gt;=20, $L6&lt;=30, $H6&gt;=1, $H6&lt;=4,$F6&gt;=128, $F6&lt;=999), "Yes", "No")</f>
        <v>No</v>
      </c>
      <c r="CU6" t="str">
        <f t="shared" ref="CU6:CU69" si="81">IF(AND($L6&gt;=20, $L6&lt;=30, $H6&gt;=5, $H6&lt;=10,$F6&gt;=0,$F6&lt;=117), "Yes", "No")</f>
        <v>No</v>
      </c>
      <c r="CV6" t="str">
        <f t="shared" ref="CV6:CV69" si="82">IF(AND($L6&gt;=20, $L6&lt;=30, $H6&gt;=5, $H6&lt;=10,$F6&gt;=118, $F6&lt;=127), "Yes", "No")</f>
        <v>No</v>
      </c>
      <c r="CW6" t="str">
        <f t="shared" ref="CW6:CW69" si="83">IF(AND($L6&gt;=20, $L6&lt;=30, $H6&gt;=5, $H6&lt;=10,$F6&gt;=128, $F6&lt;=999), "Yes", "No")</f>
        <v>No</v>
      </c>
      <c r="CX6" t="str">
        <f t="shared" ref="CX6:CX69" si="84">IF(AND($L6&gt;=20, $L6&lt;=30, $H6&gt;=11, $H6&lt;=12,$F6&gt;=0,$F6&lt;=117), "Yes", "No")</f>
        <v>No</v>
      </c>
      <c r="CY6" t="str">
        <f t="shared" ref="CY6:CY69" si="85">IF(AND($L6&gt;=20, $L6&lt;=30, $H6&gt;=11, $H6&lt;=12,$F6&gt;=118, $F6&lt;=127), "Yes", "No")</f>
        <v>No</v>
      </c>
      <c r="CZ6" t="str">
        <f t="shared" ref="CZ6:CZ69" si="86">IF(AND($L6&gt;=20, $L6&lt;=30, $H6&gt;=11, $H6&lt;=12,$F6&gt;=128, $F6&lt;=999), "Yes", "No")</f>
        <v>No</v>
      </c>
      <c r="DA6" t="str">
        <f t="shared" ref="DA6:DA69" si="87">IF(AND($L6&gt;=30, $L6&lt;=999, $H6&gt;=1, $H6&lt;=4,$F6&gt;=0,$F6&lt;=117), "Yes", "No")</f>
        <v>No</v>
      </c>
      <c r="DB6" t="str">
        <f t="shared" ref="DB6:DB69" si="88">IF(AND($L6&gt;=30, $L6&lt;=999, $H6&gt;=1, $H6&lt;=4,$F6&gt;=118, $F6&lt;=127), "Yes", "No")</f>
        <v>No</v>
      </c>
      <c r="DC6" t="str">
        <f t="shared" ref="DC6:DC69" si="89">IF(AND($L6&gt;=30, $L6&lt;=999, $H6&gt;=1, $H6&lt;=4,$F6&gt;=128, $F6&lt;=999), "Yes", "No")</f>
        <v>No</v>
      </c>
      <c r="DD6" t="str">
        <f t="shared" ref="DD6:DD69" si="90">IF(AND($L6&gt;=30, $L6&lt;=999,  $H6&gt;=5, $H6&lt;=10,$F6&gt;=0,$F6&lt;=117), "Yes", "No")</f>
        <v>No</v>
      </c>
      <c r="DE6" t="str">
        <f t="shared" ref="DE6:DE69" si="91">IF(AND($L6&gt;=30, $L6&lt;=999,  $H6&gt;=5, $H6&lt;=10,$F6&gt;=118, $F6&lt;=127), "Yes", "No")</f>
        <v>No</v>
      </c>
      <c r="DF6" t="str">
        <f t="shared" ref="DF6:DF69" si="92">IF(AND($L6&gt;=30, $L6&lt;=999,  $H6&gt;=5, $H6&lt;=10,$F6&gt;=128, $F6&lt;=999), "Yes", "No")</f>
        <v>No</v>
      </c>
      <c r="DG6" t="str">
        <f t="shared" ref="DG6:DG69" si="93">IF(AND($L6&gt;=30, $L6&lt;=999, $H6&gt;=11, $H6&lt;=12,$F6&gt;=0,$F6&lt;=117), "Yes", "No")</f>
        <v>No</v>
      </c>
      <c r="DH6" t="str">
        <f t="shared" ref="DH6:DH69" si="94">IF(AND($L6&gt;=30, $L6&lt;=999,  $H6&gt;=11, $H6&lt;=12,$F6&gt;=118, $F6&lt;=127), "Yes", "No")</f>
        <v>No</v>
      </c>
      <c r="DI6" t="str">
        <f t="shared" ref="DI6:DI69" si="95">IF(AND($L6&gt;=30, $L6&lt;=999,  $H6&gt;=11, $H6&lt;=12,$F6&gt;=128, $F6&lt;=999), "Yes", "No")</f>
        <v>No</v>
      </c>
    </row>
    <row r="7" spans="1:113" x14ac:dyDescent="0.25">
      <c r="A7" s="109">
        <v>3</v>
      </c>
      <c r="B7" s="109">
        <v>10</v>
      </c>
      <c r="C7" s="109" t="s">
        <v>179</v>
      </c>
      <c r="D7" s="109" t="s">
        <v>27</v>
      </c>
      <c r="E7" s="109" t="s">
        <v>28</v>
      </c>
      <c r="F7" s="109">
        <v>120</v>
      </c>
      <c r="G7" s="109">
        <v>1012</v>
      </c>
      <c r="H7" s="109">
        <v>7</v>
      </c>
      <c r="I7" s="110">
        <v>37987</v>
      </c>
      <c r="J7" s="109" t="s">
        <v>180</v>
      </c>
      <c r="K7" s="109" t="s">
        <v>181</v>
      </c>
      <c r="L7" s="109">
        <v>13</v>
      </c>
      <c r="M7" s="109">
        <f t="shared" si="0"/>
        <v>6</v>
      </c>
      <c r="N7" s="109" t="s">
        <v>468</v>
      </c>
      <c r="O7" t="str">
        <f t="shared" si="1"/>
        <v>No</v>
      </c>
      <c r="P7" t="str">
        <f t="shared" si="2"/>
        <v>No</v>
      </c>
      <c r="Q7" t="str">
        <f t="shared" si="3"/>
        <v>11-20</v>
      </c>
      <c r="R7" t="str">
        <f t="shared" si="4"/>
        <v>No</v>
      </c>
      <c r="S7" t="str">
        <f t="shared" si="5"/>
        <v>No</v>
      </c>
      <c r="T7" t="str">
        <f t="shared" si="6"/>
        <v>No</v>
      </c>
      <c r="U7" t="str">
        <f t="shared" si="7"/>
        <v>5-10</v>
      </c>
      <c r="V7" t="str">
        <f t="shared" si="8"/>
        <v>No</v>
      </c>
      <c r="W7" t="str">
        <f t="shared" si="9"/>
        <v>No</v>
      </c>
      <c r="X7" t="str">
        <f t="shared" si="10"/>
        <v>118-127</v>
      </c>
      <c r="Y7" t="str">
        <f t="shared" si="11"/>
        <v>No</v>
      </c>
      <c r="Z7" t="str">
        <f t="shared" si="12"/>
        <v>No</v>
      </c>
      <c r="AA7" t="str">
        <f t="shared" si="13"/>
        <v>No</v>
      </c>
      <c r="AB7" t="str">
        <f t="shared" si="14"/>
        <v>No</v>
      </c>
      <c r="AC7" t="str">
        <f t="shared" si="15"/>
        <v>No</v>
      </c>
      <c r="AD7" t="str">
        <f t="shared" si="16"/>
        <v>No</v>
      </c>
      <c r="AE7" t="str">
        <f t="shared" si="17"/>
        <v>No</v>
      </c>
      <c r="AF7" t="str">
        <f t="shared" si="18"/>
        <v>No</v>
      </c>
      <c r="AG7" t="str">
        <f t="shared" si="19"/>
        <v>Yes</v>
      </c>
      <c r="AH7" t="str">
        <f t="shared" si="20"/>
        <v>No</v>
      </c>
      <c r="AI7" t="str">
        <f t="shared" si="21"/>
        <v>No</v>
      </c>
      <c r="AJ7" t="str">
        <f t="shared" si="22"/>
        <v>No</v>
      </c>
      <c r="AK7" t="str">
        <f t="shared" si="23"/>
        <v>No</v>
      </c>
      <c r="AL7" t="str">
        <f t="shared" si="24"/>
        <v>No</v>
      </c>
      <c r="AM7" t="str">
        <f t="shared" si="25"/>
        <v>No</v>
      </c>
      <c r="AN7" t="str">
        <f t="shared" si="26"/>
        <v>No</v>
      </c>
      <c r="AP7" t="str">
        <f t="shared" si="27"/>
        <v>No</v>
      </c>
      <c r="AQ7" t="str">
        <f t="shared" si="28"/>
        <v>No</v>
      </c>
      <c r="AR7" t="str">
        <f t="shared" si="29"/>
        <v>No</v>
      </c>
      <c r="AS7" t="str">
        <f t="shared" si="30"/>
        <v>No</v>
      </c>
      <c r="AT7" t="str">
        <f t="shared" si="31"/>
        <v>No</v>
      </c>
      <c r="AU7" t="str">
        <f t="shared" si="32"/>
        <v>No</v>
      </c>
      <c r="AV7" t="str">
        <f t="shared" si="33"/>
        <v>No</v>
      </c>
      <c r="AW7" t="str">
        <f t="shared" si="34"/>
        <v>Yes</v>
      </c>
      <c r="AX7" t="str">
        <f t="shared" si="35"/>
        <v>No</v>
      </c>
      <c r="AY7" t="str">
        <f t="shared" si="36"/>
        <v>No</v>
      </c>
      <c r="AZ7" t="str">
        <f t="shared" si="37"/>
        <v>No</v>
      </c>
      <c r="BA7" t="str">
        <f t="shared" si="38"/>
        <v>No</v>
      </c>
      <c r="BB7" t="str">
        <f t="shared" si="39"/>
        <v>No</v>
      </c>
      <c r="BC7" t="str">
        <f t="shared" si="40"/>
        <v>No</v>
      </c>
      <c r="BD7" t="str">
        <f t="shared" si="41"/>
        <v>No</v>
      </c>
      <c r="BF7" t="str">
        <f t="shared" si="42"/>
        <v>No</v>
      </c>
      <c r="BG7" t="str">
        <f t="shared" si="43"/>
        <v>No</v>
      </c>
      <c r="BH7" t="str">
        <f t="shared" si="44"/>
        <v>No</v>
      </c>
      <c r="BI7" t="str">
        <f t="shared" si="45"/>
        <v>No</v>
      </c>
      <c r="BJ7" t="str">
        <f t="shared" si="46"/>
        <v>Yes</v>
      </c>
      <c r="BK7" t="str">
        <f t="shared" si="47"/>
        <v>No</v>
      </c>
      <c r="BL7" t="str">
        <f t="shared" si="48"/>
        <v>No</v>
      </c>
      <c r="BM7" t="str">
        <f t="shared" si="49"/>
        <v>No</v>
      </c>
      <c r="BN7" t="str">
        <f t="shared" si="50"/>
        <v>No</v>
      </c>
      <c r="BQ7" t="str">
        <f t="shared" si="51"/>
        <v>No</v>
      </c>
      <c r="BR7" t="str">
        <f t="shared" si="52"/>
        <v>No</v>
      </c>
      <c r="BS7" t="str">
        <f t="shared" si="53"/>
        <v>No</v>
      </c>
      <c r="BT7" t="str">
        <f t="shared" si="54"/>
        <v>No</v>
      </c>
      <c r="BU7" t="str">
        <f t="shared" si="55"/>
        <v>No</v>
      </c>
      <c r="BV7" t="str">
        <f t="shared" si="56"/>
        <v>No</v>
      </c>
      <c r="BW7" t="str">
        <f t="shared" si="57"/>
        <v>No</v>
      </c>
      <c r="BX7" t="str">
        <f t="shared" si="58"/>
        <v>No</v>
      </c>
      <c r="BY7" t="str">
        <f t="shared" si="59"/>
        <v>No</v>
      </c>
      <c r="BZ7" t="str">
        <f t="shared" si="60"/>
        <v>No</v>
      </c>
      <c r="CA7" t="str">
        <f t="shared" si="61"/>
        <v>No</v>
      </c>
      <c r="CB7" t="str">
        <f t="shared" si="62"/>
        <v>No</v>
      </c>
      <c r="CC7" t="str">
        <f t="shared" si="63"/>
        <v>No</v>
      </c>
      <c r="CD7" t="str">
        <f t="shared" si="64"/>
        <v>No</v>
      </c>
      <c r="CE7" t="str">
        <f t="shared" si="65"/>
        <v>No</v>
      </c>
      <c r="CF7" t="str">
        <f t="shared" si="66"/>
        <v>No</v>
      </c>
      <c r="CG7" t="str">
        <f t="shared" si="67"/>
        <v>No</v>
      </c>
      <c r="CH7" t="str">
        <f t="shared" si="68"/>
        <v>No</v>
      </c>
      <c r="CI7" t="str">
        <f t="shared" si="69"/>
        <v>No</v>
      </c>
      <c r="CJ7" t="str">
        <f t="shared" si="70"/>
        <v>No</v>
      </c>
      <c r="CK7" t="str">
        <f t="shared" si="71"/>
        <v>No</v>
      </c>
      <c r="CL7" t="str">
        <f t="shared" si="72"/>
        <v>No</v>
      </c>
      <c r="CM7" t="str">
        <f t="shared" si="73"/>
        <v>Yes</v>
      </c>
      <c r="CN7" t="str">
        <f t="shared" si="74"/>
        <v>No</v>
      </c>
      <c r="CO7" t="str">
        <f t="shared" si="75"/>
        <v>No</v>
      </c>
      <c r="CP7" t="str">
        <f t="shared" si="76"/>
        <v>No</v>
      </c>
      <c r="CQ7" t="str">
        <f t="shared" si="77"/>
        <v>No</v>
      </c>
      <c r="CR7" t="str">
        <f t="shared" si="78"/>
        <v>No</v>
      </c>
      <c r="CS7" t="str">
        <f t="shared" si="79"/>
        <v>No</v>
      </c>
      <c r="CT7" t="str">
        <f t="shared" si="80"/>
        <v>No</v>
      </c>
      <c r="CU7" t="str">
        <f t="shared" si="81"/>
        <v>No</v>
      </c>
      <c r="CV7" t="str">
        <f t="shared" si="82"/>
        <v>No</v>
      </c>
      <c r="CW7" t="str">
        <f t="shared" si="83"/>
        <v>No</v>
      </c>
      <c r="CX7" t="str">
        <f t="shared" si="84"/>
        <v>No</v>
      </c>
      <c r="CY7" t="str">
        <f t="shared" si="85"/>
        <v>No</v>
      </c>
      <c r="CZ7" t="str">
        <f t="shared" si="86"/>
        <v>No</v>
      </c>
      <c r="DA7" t="str">
        <f t="shared" si="87"/>
        <v>No</v>
      </c>
      <c r="DB7" t="str">
        <f t="shared" si="88"/>
        <v>No</v>
      </c>
      <c r="DC7" t="str">
        <f t="shared" si="89"/>
        <v>No</v>
      </c>
      <c r="DD7" t="str">
        <f t="shared" si="90"/>
        <v>No</v>
      </c>
      <c r="DE7" t="str">
        <f t="shared" si="91"/>
        <v>No</v>
      </c>
      <c r="DF7" t="str">
        <f t="shared" si="92"/>
        <v>No</v>
      </c>
      <c r="DG7" t="str">
        <f t="shared" si="93"/>
        <v>No</v>
      </c>
      <c r="DH7" t="str">
        <f t="shared" si="94"/>
        <v>No</v>
      </c>
      <c r="DI7" t="str">
        <f t="shared" si="95"/>
        <v>No</v>
      </c>
    </row>
    <row r="8" spans="1:113" x14ac:dyDescent="0.25">
      <c r="A8" s="109">
        <v>4</v>
      </c>
      <c r="B8" s="109">
        <v>6</v>
      </c>
      <c r="C8" s="109" t="s">
        <v>182</v>
      </c>
      <c r="D8" s="109" t="s">
        <v>30</v>
      </c>
      <c r="E8" s="109" t="s">
        <v>31</v>
      </c>
      <c r="F8" s="109">
        <v>128</v>
      </c>
      <c r="G8" s="109">
        <v>1029</v>
      </c>
      <c r="H8" s="109">
        <v>11</v>
      </c>
      <c r="I8" s="109">
        <v>37258</v>
      </c>
      <c r="J8" s="109" t="s">
        <v>183</v>
      </c>
      <c r="K8" s="109" t="s">
        <v>184</v>
      </c>
      <c r="L8" s="109">
        <v>11</v>
      </c>
      <c r="M8" s="109">
        <f t="shared" si="0"/>
        <v>5</v>
      </c>
      <c r="N8" s="109" t="s">
        <v>468</v>
      </c>
      <c r="O8" t="str">
        <f t="shared" si="1"/>
        <v>No</v>
      </c>
      <c r="P8" t="str">
        <f t="shared" si="2"/>
        <v>No</v>
      </c>
      <c r="Q8" t="str">
        <f t="shared" si="3"/>
        <v>11-20</v>
      </c>
      <c r="R8" t="str">
        <f t="shared" si="4"/>
        <v>No</v>
      </c>
      <c r="S8" t="str">
        <f t="shared" si="5"/>
        <v>No</v>
      </c>
      <c r="T8" t="str">
        <f t="shared" si="6"/>
        <v>No</v>
      </c>
      <c r="U8" t="str">
        <f t="shared" si="7"/>
        <v>No</v>
      </c>
      <c r="V8" t="str">
        <f t="shared" si="8"/>
        <v>11-12</v>
      </c>
      <c r="W8" t="str">
        <f t="shared" si="9"/>
        <v>No</v>
      </c>
      <c r="X8" t="str">
        <f t="shared" si="10"/>
        <v>No</v>
      </c>
      <c r="Y8" t="str">
        <f t="shared" si="11"/>
        <v>&gt;128</v>
      </c>
      <c r="Z8" t="str">
        <f t="shared" si="12"/>
        <v>No</v>
      </c>
      <c r="AA8" t="str">
        <f t="shared" si="13"/>
        <v>No</v>
      </c>
      <c r="AB8" t="str">
        <f t="shared" si="14"/>
        <v>No</v>
      </c>
      <c r="AC8" t="str">
        <f t="shared" si="15"/>
        <v>No</v>
      </c>
      <c r="AD8" t="str">
        <f t="shared" si="16"/>
        <v>No</v>
      </c>
      <c r="AE8" t="str">
        <f t="shared" si="17"/>
        <v>No</v>
      </c>
      <c r="AF8" t="str">
        <f t="shared" si="18"/>
        <v>No</v>
      </c>
      <c r="AG8" t="str">
        <f t="shared" si="19"/>
        <v>No</v>
      </c>
      <c r="AH8" t="str">
        <f t="shared" si="20"/>
        <v>Yes</v>
      </c>
      <c r="AI8" t="str">
        <f t="shared" si="21"/>
        <v>No</v>
      </c>
      <c r="AJ8" t="str">
        <f t="shared" si="22"/>
        <v>No</v>
      </c>
      <c r="AK8" t="str">
        <f t="shared" si="23"/>
        <v>No</v>
      </c>
      <c r="AL8" t="str">
        <f t="shared" si="24"/>
        <v>No</v>
      </c>
      <c r="AM8" t="str">
        <f t="shared" si="25"/>
        <v>No</v>
      </c>
      <c r="AN8" t="str">
        <f t="shared" si="26"/>
        <v>No</v>
      </c>
      <c r="AP8" t="str">
        <f t="shared" si="27"/>
        <v>No</v>
      </c>
      <c r="AQ8" t="str">
        <f t="shared" si="28"/>
        <v>No</v>
      </c>
      <c r="AR8" t="str">
        <f t="shared" si="29"/>
        <v>No</v>
      </c>
      <c r="AS8" t="str">
        <f t="shared" si="30"/>
        <v>No</v>
      </c>
      <c r="AT8" t="str">
        <f t="shared" si="31"/>
        <v>No</v>
      </c>
      <c r="AU8" t="str">
        <f t="shared" si="32"/>
        <v>No</v>
      </c>
      <c r="AV8" t="str">
        <f t="shared" si="33"/>
        <v>No</v>
      </c>
      <c r="AW8" t="str">
        <f t="shared" si="34"/>
        <v>No</v>
      </c>
      <c r="AX8" t="str">
        <f t="shared" si="35"/>
        <v>Yes</v>
      </c>
      <c r="AY8" t="str">
        <f t="shared" si="36"/>
        <v>No</v>
      </c>
      <c r="AZ8" t="str">
        <f t="shared" si="37"/>
        <v>No</v>
      </c>
      <c r="BA8" t="str">
        <f t="shared" si="38"/>
        <v>No</v>
      </c>
      <c r="BB8" t="str">
        <f t="shared" si="39"/>
        <v>No</v>
      </c>
      <c r="BC8" t="str">
        <f t="shared" si="40"/>
        <v>No</v>
      </c>
      <c r="BD8" t="str">
        <f t="shared" si="41"/>
        <v>No</v>
      </c>
      <c r="BF8" t="str">
        <f t="shared" si="42"/>
        <v>No</v>
      </c>
      <c r="BG8" t="str">
        <f t="shared" si="43"/>
        <v>No</v>
      </c>
      <c r="BH8" t="str">
        <f t="shared" si="44"/>
        <v>No</v>
      </c>
      <c r="BI8" t="str">
        <f t="shared" si="45"/>
        <v>No</v>
      </c>
      <c r="BJ8" t="str">
        <f t="shared" si="46"/>
        <v>No</v>
      </c>
      <c r="BK8" t="str">
        <f t="shared" si="47"/>
        <v>No</v>
      </c>
      <c r="BL8" t="str">
        <f t="shared" si="48"/>
        <v>No</v>
      </c>
      <c r="BM8" t="str">
        <f t="shared" si="49"/>
        <v>No</v>
      </c>
      <c r="BN8" t="str">
        <f t="shared" si="50"/>
        <v>Yes</v>
      </c>
      <c r="BQ8" t="str">
        <f t="shared" si="51"/>
        <v>No</v>
      </c>
      <c r="BR8" t="str">
        <f t="shared" si="52"/>
        <v>No</v>
      </c>
      <c r="BS8" t="str">
        <f t="shared" si="53"/>
        <v>No</v>
      </c>
      <c r="BT8" t="str">
        <f t="shared" si="54"/>
        <v>No</v>
      </c>
      <c r="BU8" t="str">
        <f t="shared" si="55"/>
        <v>No</v>
      </c>
      <c r="BV8" t="str">
        <f t="shared" si="56"/>
        <v>No</v>
      </c>
      <c r="BW8" t="str">
        <f t="shared" si="57"/>
        <v>No</v>
      </c>
      <c r="BX8" t="str">
        <f t="shared" si="58"/>
        <v>No</v>
      </c>
      <c r="BY8" t="str">
        <f t="shared" si="59"/>
        <v>No</v>
      </c>
      <c r="BZ8" t="str">
        <f t="shared" si="60"/>
        <v>No</v>
      </c>
      <c r="CA8" t="str">
        <f t="shared" si="61"/>
        <v>No</v>
      </c>
      <c r="CB8" t="str">
        <f t="shared" si="62"/>
        <v>No</v>
      </c>
      <c r="CC8" t="str">
        <f t="shared" si="63"/>
        <v>No</v>
      </c>
      <c r="CD8" t="str">
        <f t="shared" si="64"/>
        <v>No</v>
      </c>
      <c r="CE8" t="str">
        <f t="shared" si="65"/>
        <v>No</v>
      </c>
      <c r="CF8" t="str">
        <f t="shared" si="66"/>
        <v>No</v>
      </c>
      <c r="CG8" t="str">
        <f t="shared" si="67"/>
        <v>No</v>
      </c>
      <c r="CH8" t="str">
        <f t="shared" si="68"/>
        <v>No</v>
      </c>
      <c r="CI8" t="str">
        <f t="shared" si="69"/>
        <v>No</v>
      </c>
      <c r="CJ8" t="str">
        <f t="shared" si="70"/>
        <v>No</v>
      </c>
      <c r="CK8" t="str">
        <f t="shared" si="71"/>
        <v>No</v>
      </c>
      <c r="CL8" t="str">
        <f t="shared" si="72"/>
        <v>No</v>
      </c>
      <c r="CM8" t="str">
        <f t="shared" si="73"/>
        <v>No</v>
      </c>
      <c r="CN8" t="str">
        <f t="shared" si="74"/>
        <v>No</v>
      </c>
      <c r="CO8" t="str">
        <f t="shared" si="75"/>
        <v>No</v>
      </c>
      <c r="CP8" t="str">
        <f t="shared" si="76"/>
        <v>No</v>
      </c>
      <c r="CQ8" t="str">
        <f t="shared" si="77"/>
        <v>Yes</v>
      </c>
      <c r="CR8" t="str">
        <f t="shared" si="78"/>
        <v>No</v>
      </c>
      <c r="CS8" t="str">
        <f t="shared" si="79"/>
        <v>No</v>
      </c>
      <c r="CT8" t="str">
        <f t="shared" si="80"/>
        <v>No</v>
      </c>
      <c r="CU8" t="str">
        <f t="shared" si="81"/>
        <v>No</v>
      </c>
      <c r="CV8" t="str">
        <f t="shared" si="82"/>
        <v>No</v>
      </c>
      <c r="CW8" t="str">
        <f t="shared" si="83"/>
        <v>No</v>
      </c>
      <c r="CX8" t="str">
        <f t="shared" si="84"/>
        <v>No</v>
      </c>
      <c r="CY8" t="str">
        <f t="shared" si="85"/>
        <v>No</v>
      </c>
      <c r="CZ8" t="str">
        <f t="shared" si="86"/>
        <v>No</v>
      </c>
      <c r="DA8" t="str">
        <f t="shared" si="87"/>
        <v>No</v>
      </c>
      <c r="DB8" t="str">
        <f t="shared" si="88"/>
        <v>No</v>
      </c>
      <c r="DC8" t="str">
        <f t="shared" si="89"/>
        <v>No</v>
      </c>
      <c r="DD8" t="str">
        <f t="shared" si="90"/>
        <v>No</v>
      </c>
      <c r="DE8" t="str">
        <f t="shared" si="91"/>
        <v>No</v>
      </c>
      <c r="DF8" t="str">
        <f t="shared" si="92"/>
        <v>No</v>
      </c>
      <c r="DG8" t="str">
        <f t="shared" si="93"/>
        <v>No</v>
      </c>
      <c r="DH8" t="str">
        <f t="shared" si="94"/>
        <v>No</v>
      </c>
      <c r="DI8" t="str">
        <f t="shared" si="95"/>
        <v>No</v>
      </c>
    </row>
    <row r="9" spans="1:113" x14ac:dyDescent="0.25">
      <c r="A9" s="109">
        <v>5</v>
      </c>
      <c r="B9" s="109">
        <v>3</v>
      </c>
      <c r="C9" s="109" t="s">
        <v>185</v>
      </c>
      <c r="D9" s="109" t="s">
        <v>33</v>
      </c>
      <c r="E9" s="109" t="s">
        <v>34</v>
      </c>
      <c r="F9" s="109">
        <v>132</v>
      </c>
      <c r="G9" s="109">
        <v>1121</v>
      </c>
      <c r="H9" s="109">
        <v>4</v>
      </c>
      <c r="I9" s="109">
        <v>37989</v>
      </c>
      <c r="J9" s="109" t="s">
        <v>186</v>
      </c>
      <c r="K9" s="109" t="s">
        <v>187</v>
      </c>
      <c r="L9" s="109">
        <v>4.8</v>
      </c>
      <c r="M9" s="109">
        <f t="shared" si="0"/>
        <v>3</v>
      </c>
      <c r="N9" s="109" t="s">
        <v>468</v>
      </c>
    </row>
    <row r="10" spans="1:113" x14ac:dyDescent="0.25">
      <c r="A10" s="109">
        <v>6</v>
      </c>
      <c r="B10" s="109">
        <v>1</v>
      </c>
      <c r="C10" s="109" t="s">
        <v>188</v>
      </c>
      <c r="D10" s="109" t="s">
        <v>36</v>
      </c>
      <c r="E10" s="109" t="s">
        <v>37</v>
      </c>
      <c r="F10" s="109">
        <v>135</v>
      </c>
      <c r="G10" s="109">
        <v>1225</v>
      </c>
      <c r="H10" s="109">
        <v>12</v>
      </c>
      <c r="I10" s="109">
        <v>37261</v>
      </c>
      <c r="J10" s="109" t="s">
        <v>189</v>
      </c>
      <c r="K10" s="109" t="s">
        <v>190</v>
      </c>
      <c r="L10" s="109">
        <v>18</v>
      </c>
      <c r="M10" s="109">
        <f t="shared" si="0"/>
        <v>8</v>
      </c>
      <c r="N10" s="109" t="s">
        <v>468</v>
      </c>
    </row>
    <row r="11" spans="1:113" x14ac:dyDescent="0.25">
      <c r="A11" s="109">
        <v>7</v>
      </c>
      <c r="B11" s="109">
        <v>12</v>
      </c>
      <c r="C11" s="109" t="s">
        <v>191</v>
      </c>
      <c r="D11" s="109" t="s">
        <v>39</v>
      </c>
      <c r="E11" s="109" t="s">
        <v>40</v>
      </c>
      <c r="F11" s="109">
        <v>118</v>
      </c>
      <c r="G11" s="109">
        <v>1012</v>
      </c>
      <c r="H11" s="109">
        <v>9</v>
      </c>
      <c r="I11" s="109">
        <v>37261</v>
      </c>
      <c r="J11" s="109" t="s">
        <v>192</v>
      </c>
      <c r="K11" s="109" t="s">
        <v>190</v>
      </c>
      <c r="L11" s="109">
        <v>52</v>
      </c>
      <c r="M11" s="109">
        <f t="shared" si="0"/>
        <v>10</v>
      </c>
      <c r="N11" s="109" t="s">
        <v>468</v>
      </c>
    </row>
    <row r="12" spans="1:113" x14ac:dyDescent="0.25">
      <c r="A12" s="109">
        <v>8</v>
      </c>
      <c r="B12" s="109">
        <v>7</v>
      </c>
      <c r="C12" s="109" t="s">
        <v>193</v>
      </c>
      <c r="D12" s="109" t="s">
        <v>42</v>
      </c>
      <c r="E12" s="109" t="s">
        <v>43</v>
      </c>
      <c r="F12" s="109">
        <v>127</v>
      </c>
      <c r="G12" s="109">
        <v>1105</v>
      </c>
      <c r="H12" s="109">
        <v>6</v>
      </c>
      <c r="I12" s="109">
        <v>38051</v>
      </c>
      <c r="J12" s="109" t="s">
        <v>194</v>
      </c>
      <c r="K12" s="109" t="s">
        <v>190</v>
      </c>
      <c r="L12" s="109">
        <v>114</v>
      </c>
      <c r="M12" s="109">
        <f t="shared" si="0"/>
        <v>12</v>
      </c>
      <c r="N12" s="109" t="s">
        <v>468</v>
      </c>
    </row>
    <row r="13" spans="1:113" x14ac:dyDescent="0.25">
      <c r="A13" s="109">
        <v>9</v>
      </c>
      <c r="B13" s="109">
        <v>8</v>
      </c>
      <c r="C13" s="109" t="s">
        <v>195</v>
      </c>
      <c r="D13" s="109" t="s">
        <v>45</v>
      </c>
      <c r="E13" s="109" t="s">
        <v>46</v>
      </c>
      <c r="F13" s="109">
        <v>115</v>
      </c>
      <c r="G13" s="109">
        <v>1063</v>
      </c>
      <c r="H13" s="109">
        <v>8</v>
      </c>
      <c r="I13" s="109">
        <v>6</v>
      </c>
      <c r="J13" s="109" t="s">
        <v>196</v>
      </c>
      <c r="K13" s="109" t="s">
        <v>197</v>
      </c>
      <c r="L13" s="109">
        <v>5.8</v>
      </c>
      <c r="M13" s="109">
        <f t="shared" si="0"/>
        <v>4</v>
      </c>
      <c r="N13" s="109" t="s">
        <v>468</v>
      </c>
    </row>
    <row r="14" spans="1:113" x14ac:dyDescent="0.25">
      <c r="A14" s="109">
        <v>10</v>
      </c>
      <c r="B14" s="109">
        <v>9</v>
      </c>
      <c r="C14" s="109" t="s">
        <v>198</v>
      </c>
      <c r="D14" s="109" t="s">
        <v>48</v>
      </c>
      <c r="E14" s="109" t="s">
        <v>49</v>
      </c>
      <c r="F14" s="109">
        <v>123</v>
      </c>
      <c r="G14" s="109">
        <v>1019</v>
      </c>
      <c r="H14" s="109">
        <v>2</v>
      </c>
      <c r="I14" s="109">
        <v>37993</v>
      </c>
      <c r="J14" s="109" t="s">
        <v>199</v>
      </c>
      <c r="K14" s="109" t="s">
        <v>200</v>
      </c>
      <c r="L14" s="109">
        <v>16</v>
      </c>
      <c r="M14" s="109">
        <f t="shared" si="0"/>
        <v>7</v>
      </c>
      <c r="N14" s="109" t="s">
        <v>468</v>
      </c>
    </row>
    <row r="15" spans="1:113" x14ac:dyDescent="0.25">
      <c r="A15" s="109">
        <v>11</v>
      </c>
      <c r="B15" s="109">
        <v>5</v>
      </c>
      <c r="C15" s="109" t="s">
        <v>201</v>
      </c>
      <c r="D15" s="109" t="s">
        <v>51</v>
      </c>
      <c r="E15" s="109" t="s">
        <v>52</v>
      </c>
      <c r="F15" s="109">
        <v>130</v>
      </c>
      <c r="G15" s="109">
        <v>1039</v>
      </c>
      <c r="H15" s="109">
        <v>10</v>
      </c>
      <c r="I15" s="109">
        <v>37263</v>
      </c>
      <c r="J15" s="109" t="s">
        <v>202</v>
      </c>
      <c r="K15" s="109" t="s">
        <v>200</v>
      </c>
      <c r="L15" s="109">
        <v>29</v>
      </c>
      <c r="M15" s="109">
        <f t="shared" si="0"/>
        <v>9</v>
      </c>
      <c r="N15" s="109" t="s">
        <v>468</v>
      </c>
    </row>
    <row r="16" spans="1:113" x14ac:dyDescent="0.25">
      <c r="A16" s="109">
        <v>12</v>
      </c>
      <c r="B16" s="109">
        <v>2</v>
      </c>
      <c r="C16" s="109" t="s">
        <v>203</v>
      </c>
      <c r="D16" s="109" t="s">
        <v>54</v>
      </c>
      <c r="E16" s="109" t="s">
        <v>55</v>
      </c>
      <c r="F16" s="109">
        <v>134</v>
      </c>
      <c r="G16" s="109">
        <v>1264</v>
      </c>
      <c r="H16" s="109">
        <v>5</v>
      </c>
      <c r="I16" s="109">
        <v>37266</v>
      </c>
      <c r="J16" s="109" t="s">
        <v>204</v>
      </c>
      <c r="K16" s="109" t="s">
        <v>205</v>
      </c>
      <c r="L16" s="109">
        <v>77</v>
      </c>
      <c r="M16" s="109">
        <f t="shared" si="0"/>
        <v>11</v>
      </c>
      <c r="N16" s="109" t="s">
        <v>468</v>
      </c>
    </row>
    <row r="17" spans="1:113" x14ac:dyDescent="0.25">
      <c r="M17" s="109" t="e">
        <f t="shared" si="0"/>
        <v>#N/A</v>
      </c>
      <c r="N17" s="109" t="s">
        <v>468</v>
      </c>
    </row>
    <row r="18" spans="1:113" x14ac:dyDescent="0.25">
      <c r="M18" s="109" t="e">
        <f t="shared" si="0"/>
        <v>#N/A</v>
      </c>
      <c r="N18" s="109" t="s">
        <v>468</v>
      </c>
    </row>
    <row r="19" spans="1:113" x14ac:dyDescent="0.25">
      <c r="A19" s="109" t="s">
        <v>0</v>
      </c>
      <c r="B19" s="109" t="s">
        <v>1</v>
      </c>
      <c r="C19" s="109" t="s">
        <v>2</v>
      </c>
      <c r="D19" s="109" t="s">
        <v>3</v>
      </c>
      <c r="E19" s="109" t="s">
        <v>4</v>
      </c>
      <c r="F19" s="109" t="s">
        <v>167</v>
      </c>
      <c r="G19" s="109" t="s">
        <v>168</v>
      </c>
      <c r="H19" s="109" t="s">
        <v>7</v>
      </c>
      <c r="I19" s="109" t="s">
        <v>169</v>
      </c>
      <c r="J19" s="109" t="s">
        <v>170</v>
      </c>
      <c r="K19" s="109" t="s">
        <v>171</v>
      </c>
      <c r="L19" s="109" t="s">
        <v>172</v>
      </c>
      <c r="M19" s="109" t="s">
        <v>467</v>
      </c>
      <c r="N19" s="109" t="s">
        <v>479</v>
      </c>
    </row>
    <row r="20" spans="1:113" x14ac:dyDescent="0.25">
      <c r="A20" s="109">
        <v>1</v>
      </c>
      <c r="B20" s="109">
        <v>10</v>
      </c>
      <c r="C20" s="109" t="s">
        <v>206</v>
      </c>
      <c r="D20" s="109" t="s">
        <v>23</v>
      </c>
      <c r="E20" s="109" t="s">
        <v>57</v>
      </c>
      <c r="F20" s="109">
        <v>120</v>
      </c>
      <c r="G20" s="109">
        <v>1037</v>
      </c>
      <c r="H20" s="109">
        <v>5</v>
      </c>
      <c r="I20" s="109" t="s">
        <v>21</v>
      </c>
      <c r="J20" s="109" t="s">
        <v>207</v>
      </c>
      <c r="K20" s="109" t="s">
        <v>208</v>
      </c>
      <c r="L20" s="109">
        <v>6.2</v>
      </c>
      <c r="M20" s="109">
        <f>RANK(L20, $L$20:$L$33,1)</f>
        <v>3</v>
      </c>
      <c r="N20" s="109" t="s">
        <v>469</v>
      </c>
      <c r="O20" t="str">
        <f>IF(AND($L20&gt;=1, $L20&lt;=4), "1-4", "No")</f>
        <v>No</v>
      </c>
      <c r="P20" t="str">
        <f>IF(AND($L20&gt;=5, $L20&lt;=10), "5-10", "No")</f>
        <v>5-10</v>
      </c>
      <c r="Q20" t="str">
        <f>IF(AND($L20&gt;=11, $L20&lt;=20), "11-20", "No")</f>
        <v>No</v>
      </c>
      <c r="R20" t="str">
        <f>IF(AND($L20&gt;=20, $L20&lt;=30), "20-30", "No")</f>
        <v>No</v>
      </c>
      <c r="S20" t="str">
        <f>IF(AND($L20&gt;=30, $L20&lt;=999), "&gt;30", "No")</f>
        <v>No</v>
      </c>
      <c r="T20" t="str">
        <f>IF(AND($H20&gt;=1, $H20&lt;=6), "1-4", "No")</f>
        <v>1-4</v>
      </c>
      <c r="U20" t="str">
        <f>IF(AND($H20&gt;=5, $H20&lt;=10), "5-10", "No")</f>
        <v>5-10</v>
      </c>
      <c r="V20" t="str">
        <f>IF(AND($H20&gt;=11, $H20&lt;=12), "11-12", "No")</f>
        <v>No</v>
      </c>
      <c r="W20" t="str">
        <f>IF(AND($F20&gt;=0, $F20&lt;=117), "0-117", "No")</f>
        <v>No</v>
      </c>
      <c r="X20" t="str">
        <f>IF(AND($F20&gt;=118, $F20&lt;=127), "118-127", "No")</f>
        <v>118-127</v>
      </c>
      <c r="Y20" t="str">
        <f>IF(AND($F20&gt;=128, $F20&lt;=999), "&gt;128", "No")</f>
        <v>No</v>
      </c>
      <c r="Z20" t="str">
        <f t="shared" si="12"/>
        <v>No</v>
      </c>
      <c r="AA20" t="str">
        <f t="shared" si="13"/>
        <v>No</v>
      </c>
      <c r="AB20" t="str">
        <f t="shared" si="14"/>
        <v>No</v>
      </c>
      <c r="AC20" t="str">
        <f t="shared" si="15"/>
        <v>No</v>
      </c>
      <c r="AD20" t="str">
        <f t="shared" si="16"/>
        <v>Yes</v>
      </c>
      <c r="AE20" t="str">
        <f t="shared" si="17"/>
        <v>No</v>
      </c>
      <c r="AF20" t="str">
        <f t="shared" si="18"/>
        <v>No</v>
      </c>
      <c r="AG20" t="str">
        <f t="shared" si="19"/>
        <v>No</v>
      </c>
      <c r="AH20" t="str">
        <f t="shared" si="20"/>
        <v>No</v>
      </c>
      <c r="AI20" t="str">
        <f t="shared" si="21"/>
        <v>No</v>
      </c>
      <c r="AJ20" t="str">
        <f t="shared" si="22"/>
        <v>No</v>
      </c>
      <c r="AK20" t="str">
        <f t="shared" si="23"/>
        <v>No</v>
      </c>
      <c r="AL20" t="str">
        <f t="shared" si="24"/>
        <v>No</v>
      </c>
      <c r="AM20" t="str">
        <f t="shared" si="25"/>
        <v>No</v>
      </c>
      <c r="AN20" t="str">
        <f t="shared" si="26"/>
        <v>No</v>
      </c>
      <c r="AP20" t="str">
        <f t="shared" si="27"/>
        <v>No</v>
      </c>
      <c r="AQ20" t="str">
        <f t="shared" si="28"/>
        <v>No</v>
      </c>
      <c r="AR20" t="str">
        <f t="shared" si="29"/>
        <v>No</v>
      </c>
      <c r="AS20" t="str">
        <f t="shared" si="30"/>
        <v>No</v>
      </c>
      <c r="AT20" t="str">
        <f t="shared" si="31"/>
        <v>Yes</v>
      </c>
      <c r="AU20" t="str">
        <f t="shared" si="32"/>
        <v>No</v>
      </c>
      <c r="AV20" t="str">
        <f t="shared" si="33"/>
        <v>No</v>
      </c>
      <c r="AW20" t="str">
        <f t="shared" si="34"/>
        <v>No</v>
      </c>
      <c r="AX20" t="str">
        <f t="shared" si="35"/>
        <v>No</v>
      </c>
      <c r="AY20" t="str">
        <f t="shared" si="36"/>
        <v>No</v>
      </c>
      <c r="AZ20" t="str">
        <f t="shared" si="37"/>
        <v>No</v>
      </c>
      <c r="BA20" t="str">
        <f t="shared" si="38"/>
        <v>No</v>
      </c>
      <c r="BB20" t="str">
        <f t="shared" si="39"/>
        <v>No</v>
      </c>
      <c r="BC20" t="str">
        <f t="shared" si="40"/>
        <v>No</v>
      </c>
      <c r="BD20" t="str">
        <f t="shared" si="41"/>
        <v>No</v>
      </c>
      <c r="BF20" t="str">
        <f t="shared" si="42"/>
        <v>No</v>
      </c>
      <c r="BG20" t="str">
        <f t="shared" si="43"/>
        <v>No</v>
      </c>
      <c r="BH20" t="str">
        <f t="shared" si="44"/>
        <v>No</v>
      </c>
      <c r="BI20" t="str">
        <f t="shared" si="45"/>
        <v>No</v>
      </c>
      <c r="BJ20" t="str">
        <f t="shared" si="46"/>
        <v>Yes</v>
      </c>
      <c r="BK20" t="str">
        <f t="shared" si="47"/>
        <v>No</v>
      </c>
      <c r="BL20" t="str">
        <f t="shared" si="48"/>
        <v>No</v>
      </c>
      <c r="BM20" t="str">
        <f t="shared" si="49"/>
        <v>No</v>
      </c>
      <c r="BN20" t="str">
        <f t="shared" si="50"/>
        <v>No</v>
      </c>
      <c r="BQ20" t="str">
        <f t="shared" si="51"/>
        <v>No</v>
      </c>
      <c r="BR20" t="str">
        <f t="shared" si="52"/>
        <v>No</v>
      </c>
      <c r="BS20" t="str">
        <f t="shared" si="53"/>
        <v>No</v>
      </c>
      <c r="BT20" t="str">
        <f t="shared" si="54"/>
        <v>No</v>
      </c>
      <c r="BU20" t="str">
        <f t="shared" si="55"/>
        <v>No</v>
      </c>
      <c r="BV20" t="str">
        <f t="shared" si="56"/>
        <v>No</v>
      </c>
      <c r="BW20" t="str">
        <f t="shared" si="57"/>
        <v>No</v>
      </c>
      <c r="BX20" t="str">
        <f t="shared" si="58"/>
        <v>No</v>
      </c>
      <c r="BY20" t="str">
        <f t="shared" si="59"/>
        <v>No</v>
      </c>
      <c r="BZ20" t="str">
        <f t="shared" si="60"/>
        <v>No</v>
      </c>
      <c r="CA20" t="str">
        <f t="shared" si="61"/>
        <v>No</v>
      </c>
      <c r="CB20" t="str">
        <f t="shared" si="62"/>
        <v>No</v>
      </c>
      <c r="CC20" t="str">
        <f t="shared" si="63"/>
        <v>No</v>
      </c>
      <c r="CD20" t="str">
        <f t="shared" si="64"/>
        <v>Yes</v>
      </c>
      <c r="CE20" t="str">
        <f t="shared" si="65"/>
        <v>No</v>
      </c>
      <c r="CF20" t="str">
        <f t="shared" si="66"/>
        <v>No</v>
      </c>
      <c r="CG20" t="str">
        <f t="shared" si="67"/>
        <v>No</v>
      </c>
      <c r="CH20" t="str">
        <f t="shared" si="68"/>
        <v>No</v>
      </c>
      <c r="CI20" t="str">
        <f t="shared" si="69"/>
        <v>No</v>
      </c>
      <c r="CJ20" t="str">
        <f t="shared" si="70"/>
        <v>No</v>
      </c>
      <c r="CK20" t="str">
        <f t="shared" si="71"/>
        <v>No</v>
      </c>
      <c r="CL20" t="str">
        <f t="shared" si="72"/>
        <v>No</v>
      </c>
      <c r="CM20" t="str">
        <f t="shared" si="73"/>
        <v>No</v>
      </c>
      <c r="CN20" t="str">
        <f t="shared" si="74"/>
        <v>No</v>
      </c>
      <c r="CO20" t="str">
        <f t="shared" si="75"/>
        <v>No</v>
      </c>
      <c r="CP20" t="str">
        <f t="shared" si="76"/>
        <v>No</v>
      </c>
      <c r="CQ20" t="str">
        <f t="shared" si="77"/>
        <v>No</v>
      </c>
      <c r="CR20" t="str">
        <f t="shared" si="78"/>
        <v>No</v>
      </c>
      <c r="CS20" t="str">
        <f t="shared" si="79"/>
        <v>No</v>
      </c>
      <c r="CT20" t="str">
        <f t="shared" si="80"/>
        <v>No</v>
      </c>
      <c r="CU20" t="str">
        <f t="shared" si="81"/>
        <v>No</v>
      </c>
      <c r="CV20" t="str">
        <f t="shared" si="82"/>
        <v>No</v>
      </c>
      <c r="CW20" t="str">
        <f t="shared" si="83"/>
        <v>No</v>
      </c>
      <c r="CX20" t="str">
        <f t="shared" si="84"/>
        <v>No</v>
      </c>
      <c r="CY20" t="str">
        <f t="shared" si="85"/>
        <v>No</v>
      </c>
      <c r="CZ20" t="str">
        <f t="shared" si="86"/>
        <v>No</v>
      </c>
      <c r="DA20" t="str">
        <f t="shared" si="87"/>
        <v>No</v>
      </c>
      <c r="DB20" t="str">
        <f t="shared" si="88"/>
        <v>No</v>
      </c>
      <c r="DC20" t="str">
        <f t="shared" si="89"/>
        <v>No</v>
      </c>
      <c r="DD20" t="str">
        <f t="shared" si="90"/>
        <v>No</v>
      </c>
      <c r="DE20" t="str">
        <f t="shared" si="91"/>
        <v>No</v>
      </c>
      <c r="DF20" t="str">
        <f t="shared" si="92"/>
        <v>No</v>
      </c>
      <c r="DG20" t="str">
        <f t="shared" si="93"/>
        <v>No</v>
      </c>
      <c r="DH20" t="str">
        <f t="shared" si="94"/>
        <v>No</v>
      </c>
      <c r="DI20" t="str">
        <f t="shared" si="95"/>
        <v>No</v>
      </c>
    </row>
    <row r="21" spans="1:113" x14ac:dyDescent="0.25">
      <c r="A21" s="109" t="s">
        <v>58</v>
      </c>
      <c r="B21" s="109">
        <v>11</v>
      </c>
      <c r="C21" s="109" t="s">
        <v>209</v>
      </c>
      <c r="D21" s="109" t="s">
        <v>30</v>
      </c>
      <c r="E21" s="109" t="s">
        <v>60</v>
      </c>
      <c r="F21" s="109">
        <v>118</v>
      </c>
      <c r="G21" s="109">
        <v>1133</v>
      </c>
      <c r="H21" s="109">
        <v>9</v>
      </c>
      <c r="I21" s="109">
        <v>2</v>
      </c>
      <c r="J21" s="109" t="s">
        <v>210</v>
      </c>
      <c r="K21" s="109" t="s">
        <v>211</v>
      </c>
      <c r="L21" s="109">
        <v>20</v>
      </c>
      <c r="M21" s="109">
        <f t="shared" ref="M21:M33" si="96">RANK(L21, $L$20:$L$33,1)</f>
        <v>8</v>
      </c>
      <c r="N21" s="109" t="s">
        <v>469</v>
      </c>
      <c r="O21" t="str">
        <f>IF(AND($L21&gt;=1, $L21&lt;=4), "1-4", "No")</f>
        <v>No</v>
      </c>
      <c r="P21" t="str">
        <f>IF(AND($L21&gt;=5, $L21&lt;=10), "5-10", "No")</f>
        <v>No</v>
      </c>
      <c r="Q21" t="str">
        <f>IF(AND($L21&gt;=11, $L21&lt;=20), "11-20", "No")</f>
        <v>11-20</v>
      </c>
      <c r="R21" t="str">
        <f>IF(AND($L21&gt;=20, $L21&lt;=30), "20-30", "No")</f>
        <v>20-30</v>
      </c>
      <c r="S21" t="str">
        <f>IF(AND($L21&gt;=30, $L21&lt;=999), "&gt;30", "No")</f>
        <v>No</v>
      </c>
      <c r="T21" t="str">
        <f>IF(AND($H21&gt;=1, $H21&lt;=6), "1-4", "No")</f>
        <v>No</v>
      </c>
      <c r="U21" t="str">
        <f>IF(AND($H21&gt;=5, $H21&lt;=10), "5-10", "No")</f>
        <v>5-10</v>
      </c>
      <c r="V21" t="str">
        <f>IF(AND($H21&gt;=11, $H21&lt;=12), "11-12", "No")</f>
        <v>No</v>
      </c>
      <c r="W21" t="str">
        <f>IF(AND($F21&gt;=0, $F21&lt;=117), "0-117", "No")</f>
        <v>No</v>
      </c>
      <c r="X21" t="str">
        <f>IF(AND($F21&gt;=118, $F21&lt;=127), "118-127", "No")</f>
        <v>118-127</v>
      </c>
      <c r="Y21" t="str">
        <f>IF(AND($F21&gt;=128, $F21&lt;=999), "&gt;128", "No")</f>
        <v>No</v>
      </c>
      <c r="Z21" t="str">
        <f t="shared" si="12"/>
        <v>No</v>
      </c>
      <c r="AA21" t="str">
        <f t="shared" si="13"/>
        <v>No</v>
      </c>
      <c r="AB21" t="str">
        <f t="shared" si="14"/>
        <v>No</v>
      </c>
      <c r="AC21" t="str">
        <f t="shared" si="15"/>
        <v>No</v>
      </c>
      <c r="AD21" t="str">
        <f t="shared" si="16"/>
        <v>No</v>
      </c>
      <c r="AE21" t="str">
        <f t="shared" si="17"/>
        <v>No</v>
      </c>
      <c r="AF21" t="str">
        <f t="shared" si="18"/>
        <v>No</v>
      </c>
      <c r="AG21" t="str">
        <f t="shared" si="19"/>
        <v>Yes</v>
      </c>
      <c r="AH21" t="str">
        <f t="shared" si="20"/>
        <v>No</v>
      </c>
      <c r="AI21" t="str">
        <f t="shared" si="21"/>
        <v>No</v>
      </c>
      <c r="AJ21" t="str">
        <f t="shared" si="22"/>
        <v>Yes</v>
      </c>
      <c r="AK21" t="str">
        <f t="shared" si="23"/>
        <v>No</v>
      </c>
      <c r="AL21" t="str">
        <f t="shared" si="24"/>
        <v>No</v>
      </c>
      <c r="AM21" t="str">
        <f t="shared" si="25"/>
        <v>No</v>
      </c>
      <c r="AN21" t="str">
        <f t="shared" si="26"/>
        <v>No</v>
      </c>
      <c r="AP21" t="str">
        <f t="shared" si="27"/>
        <v>No</v>
      </c>
      <c r="AQ21" t="str">
        <f t="shared" si="28"/>
        <v>No</v>
      </c>
      <c r="AR21" t="str">
        <f t="shared" si="29"/>
        <v>No</v>
      </c>
      <c r="AS21" t="str">
        <f t="shared" si="30"/>
        <v>No</v>
      </c>
      <c r="AT21" t="str">
        <f t="shared" si="31"/>
        <v>No</v>
      </c>
      <c r="AU21" t="str">
        <f t="shared" si="32"/>
        <v>No</v>
      </c>
      <c r="AV21" t="str">
        <f t="shared" si="33"/>
        <v>No</v>
      </c>
      <c r="AW21" t="str">
        <f t="shared" si="34"/>
        <v>Yes</v>
      </c>
      <c r="AX21" t="str">
        <f t="shared" si="35"/>
        <v>No</v>
      </c>
      <c r="AY21" t="str">
        <f t="shared" si="36"/>
        <v>No</v>
      </c>
      <c r="AZ21" t="str">
        <f t="shared" si="37"/>
        <v>Yes</v>
      </c>
      <c r="BA21" t="str">
        <f t="shared" si="38"/>
        <v>No</v>
      </c>
      <c r="BB21" t="str">
        <f t="shared" si="39"/>
        <v>No</v>
      </c>
      <c r="BC21" t="str">
        <f t="shared" si="40"/>
        <v>No</v>
      </c>
      <c r="BD21" t="str">
        <f t="shared" si="41"/>
        <v>No</v>
      </c>
      <c r="BF21" t="str">
        <f t="shared" si="42"/>
        <v>No</v>
      </c>
      <c r="BG21" t="str">
        <f t="shared" si="43"/>
        <v>No</v>
      </c>
      <c r="BH21" t="str">
        <f t="shared" si="44"/>
        <v>No</v>
      </c>
      <c r="BI21" t="str">
        <f t="shared" si="45"/>
        <v>No</v>
      </c>
      <c r="BJ21" t="str">
        <f t="shared" si="46"/>
        <v>Yes</v>
      </c>
      <c r="BK21" t="str">
        <f t="shared" si="47"/>
        <v>No</v>
      </c>
      <c r="BL21" t="str">
        <f t="shared" si="48"/>
        <v>No</v>
      </c>
      <c r="BM21" t="str">
        <f t="shared" si="49"/>
        <v>No</v>
      </c>
      <c r="BN21" t="str">
        <f t="shared" si="50"/>
        <v>No</v>
      </c>
      <c r="BQ21" t="str">
        <f t="shared" si="51"/>
        <v>No</v>
      </c>
      <c r="BR21" t="str">
        <f t="shared" si="52"/>
        <v>No</v>
      </c>
      <c r="BS21" t="str">
        <f t="shared" si="53"/>
        <v>No</v>
      </c>
      <c r="BT21" t="str">
        <f t="shared" si="54"/>
        <v>No</v>
      </c>
      <c r="BU21" t="str">
        <f t="shared" si="55"/>
        <v>No</v>
      </c>
      <c r="BV21" t="str">
        <f t="shared" si="56"/>
        <v>No</v>
      </c>
      <c r="BW21" t="str">
        <f t="shared" si="57"/>
        <v>No</v>
      </c>
      <c r="BX21" t="str">
        <f t="shared" si="58"/>
        <v>No</v>
      </c>
      <c r="BY21" t="str">
        <f t="shared" si="59"/>
        <v>No</v>
      </c>
      <c r="BZ21" t="str">
        <f t="shared" si="60"/>
        <v>No</v>
      </c>
      <c r="CA21" t="str">
        <f t="shared" si="61"/>
        <v>No</v>
      </c>
      <c r="CB21" t="str">
        <f t="shared" si="62"/>
        <v>No</v>
      </c>
      <c r="CC21" t="str">
        <f t="shared" si="63"/>
        <v>No</v>
      </c>
      <c r="CD21" t="str">
        <f t="shared" si="64"/>
        <v>No</v>
      </c>
      <c r="CE21" t="str">
        <f t="shared" si="65"/>
        <v>No</v>
      </c>
      <c r="CF21" t="str">
        <f t="shared" si="66"/>
        <v>No</v>
      </c>
      <c r="CG21" t="str">
        <f t="shared" si="67"/>
        <v>No</v>
      </c>
      <c r="CH21" t="str">
        <f t="shared" si="68"/>
        <v>No</v>
      </c>
      <c r="CI21" t="str">
        <f t="shared" si="69"/>
        <v>No</v>
      </c>
      <c r="CJ21" t="str">
        <f t="shared" si="70"/>
        <v>No</v>
      </c>
      <c r="CK21" t="str">
        <f t="shared" si="71"/>
        <v>No</v>
      </c>
      <c r="CL21" t="str">
        <f t="shared" si="72"/>
        <v>No</v>
      </c>
      <c r="CM21" t="str">
        <f t="shared" si="73"/>
        <v>Yes</v>
      </c>
      <c r="CN21" t="str">
        <f t="shared" si="74"/>
        <v>No</v>
      </c>
      <c r="CO21" t="str">
        <f t="shared" si="75"/>
        <v>No</v>
      </c>
      <c r="CP21" t="str">
        <f t="shared" si="76"/>
        <v>No</v>
      </c>
      <c r="CQ21" t="str">
        <f t="shared" si="77"/>
        <v>No</v>
      </c>
      <c r="CR21" t="str">
        <f t="shared" si="78"/>
        <v>No</v>
      </c>
      <c r="CS21" t="str">
        <f t="shared" si="79"/>
        <v>No</v>
      </c>
      <c r="CT21" t="str">
        <f t="shared" si="80"/>
        <v>No</v>
      </c>
      <c r="CU21" t="str">
        <f t="shared" si="81"/>
        <v>No</v>
      </c>
      <c r="CV21" t="str">
        <f t="shared" si="82"/>
        <v>Yes</v>
      </c>
      <c r="CW21" t="str">
        <f t="shared" si="83"/>
        <v>No</v>
      </c>
      <c r="CX21" t="str">
        <f t="shared" si="84"/>
        <v>No</v>
      </c>
      <c r="CY21" t="str">
        <f t="shared" si="85"/>
        <v>No</v>
      </c>
      <c r="CZ21" t="str">
        <f t="shared" si="86"/>
        <v>No</v>
      </c>
      <c r="DA21" t="str">
        <f t="shared" si="87"/>
        <v>No</v>
      </c>
      <c r="DB21" t="str">
        <f t="shared" si="88"/>
        <v>No</v>
      </c>
      <c r="DC21" t="str">
        <f t="shared" si="89"/>
        <v>No</v>
      </c>
      <c r="DD21" t="str">
        <f t="shared" si="90"/>
        <v>No</v>
      </c>
      <c r="DE21" t="str">
        <f t="shared" si="91"/>
        <v>No</v>
      </c>
      <c r="DF21" t="str">
        <f t="shared" si="92"/>
        <v>No</v>
      </c>
      <c r="DG21" t="str">
        <f t="shared" si="93"/>
        <v>No</v>
      </c>
      <c r="DH21" t="str">
        <f t="shared" si="94"/>
        <v>No</v>
      </c>
      <c r="DI21" t="str">
        <f t="shared" si="95"/>
        <v>No</v>
      </c>
    </row>
    <row r="22" spans="1:113" x14ac:dyDescent="0.25">
      <c r="A22" s="109" t="s">
        <v>61</v>
      </c>
      <c r="B22" s="109">
        <v>8</v>
      </c>
      <c r="C22" s="109" t="s">
        <v>212</v>
      </c>
      <c r="D22" s="109" t="s">
        <v>63</v>
      </c>
      <c r="E22" s="109" t="s">
        <v>40</v>
      </c>
      <c r="F22" s="109">
        <v>127</v>
      </c>
      <c r="G22" s="109">
        <v>1095</v>
      </c>
      <c r="H22" s="109">
        <v>10</v>
      </c>
      <c r="I22" s="109">
        <v>37988</v>
      </c>
      <c r="J22" s="109" t="s">
        <v>213</v>
      </c>
      <c r="K22" s="109" t="s">
        <v>214</v>
      </c>
      <c r="L22" s="109">
        <v>12</v>
      </c>
      <c r="M22" s="109">
        <f t="shared" si="96"/>
        <v>6</v>
      </c>
      <c r="N22" s="109" t="s">
        <v>469</v>
      </c>
      <c r="O22" t="str">
        <f>IF(AND($L22&gt;=1, $L22&lt;=4), "1-4", "No")</f>
        <v>No</v>
      </c>
      <c r="P22" t="str">
        <f>IF(AND($L22&gt;=5, $L22&lt;=10), "5-10", "No")</f>
        <v>No</v>
      </c>
      <c r="Q22" t="str">
        <f>IF(AND($L22&gt;=11, $L22&lt;=20), "11-20", "No")</f>
        <v>11-20</v>
      </c>
      <c r="R22" t="str">
        <f>IF(AND($L22&gt;=20, $L22&lt;=30), "20-30", "No")</f>
        <v>No</v>
      </c>
      <c r="S22" t="str">
        <f>IF(AND($L22&gt;=30, $L22&lt;=999), "&gt;30", "No")</f>
        <v>No</v>
      </c>
      <c r="T22" t="str">
        <f>IF(AND($H22&gt;=1, $H22&lt;=6), "1-4", "No")</f>
        <v>No</v>
      </c>
      <c r="U22" t="str">
        <f>IF(AND($H22&gt;=5, $H22&lt;=10), "5-10", "No")</f>
        <v>5-10</v>
      </c>
      <c r="V22" t="str">
        <f>IF(AND($H22&gt;=11, $H22&lt;=12), "11-12", "No")</f>
        <v>No</v>
      </c>
      <c r="W22" t="str">
        <f>IF(AND($F22&gt;=0, $F22&lt;=117), "0-117", "No")</f>
        <v>No</v>
      </c>
      <c r="X22" t="str">
        <f>IF(AND($F22&gt;=118, $F22&lt;=127), "118-127", "No")</f>
        <v>118-127</v>
      </c>
      <c r="Y22" t="str">
        <f>IF(AND($F22&gt;=128, $F22&lt;=999), "&gt;128", "No")</f>
        <v>No</v>
      </c>
      <c r="Z22" t="str">
        <f t="shared" si="12"/>
        <v>No</v>
      </c>
      <c r="AA22" t="str">
        <f t="shared" si="13"/>
        <v>No</v>
      </c>
      <c r="AB22" t="str">
        <f t="shared" si="14"/>
        <v>No</v>
      </c>
      <c r="AC22" t="str">
        <f t="shared" si="15"/>
        <v>No</v>
      </c>
      <c r="AD22" t="str">
        <f t="shared" si="16"/>
        <v>No</v>
      </c>
      <c r="AE22" t="str">
        <f t="shared" si="17"/>
        <v>No</v>
      </c>
      <c r="AF22" t="str">
        <f t="shared" si="18"/>
        <v>No</v>
      </c>
      <c r="AG22" t="str">
        <f t="shared" si="19"/>
        <v>Yes</v>
      </c>
      <c r="AH22" t="str">
        <f t="shared" si="20"/>
        <v>No</v>
      </c>
      <c r="AI22" t="str">
        <f t="shared" si="21"/>
        <v>No</v>
      </c>
      <c r="AJ22" t="str">
        <f t="shared" si="22"/>
        <v>No</v>
      </c>
      <c r="AK22" t="str">
        <f t="shared" si="23"/>
        <v>No</v>
      </c>
      <c r="AL22" t="str">
        <f t="shared" si="24"/>
        <v>No</v>
      </c>
      <c r="AM22" t="str">
        <f t="shared" si="25"/>
        <v>No</v>
      </c>
      <c r="AN22" t="str">
        <f t="shared" si="26"/>
        <v>No</v>
      </c>
      <c r="AP22" t="str">
        <f t="shared" si="27"/>
        <v>No</v>
      </c>
      <c r="AQ22" t="str">
        <f t="shared" si="28"/>
        <v>No</v>
      </c>
      <c r="AR22" t="str">
        <f t="shared" si="29"/>
        <v>No</v>
      </c>
      <c r="AS22" t="str">
        <f t="shared" si="30"/>
        <v>No</v>
      </c>
      <c r="AT22" t="str">
        <f t="shared" si="31"/>
        <v>No</v>
      </c>
      <c r="AU22" t="str">
        <f t="shared" si="32"/>
        <v>No</v>
      </c>
      <c r="AV22" t="str">
        <f t="shared" si="33"/>
        <v>No</v>
      </c>
      <c r="AW22" t="str">
        <f t="shared" si="34"/>
        <v>Yes</v>
      </c>
      <c r="AX22" t="str">
        <f t="shared" si="35"/>
        <v>No</v>
      </c>
      <c r="AY22" t="str">
        <f t="shared" si="36"/>
        <v>No</v>
      </c>
      <c r="AZ22" t="str">
        <f t="shared" si="37"/>
        <v>No</v>
      </c>
      <c r="BA22" t="str">
        <f t="shared" si="38"/>
        <v>No</v>
      </c>
      <c r="BB22" t="str">
        <f t="shared" si="39"/>
        <v>No</v>
      </c>
      <c r="BC22" t="str">
        <f t="shared" si="40"/>
        <v>No</v>
      </c>
      <c r="BD22" t="str">
        <f t="shared" si="41"/>
        <v>No</v>
      </c>
      <c r="BF22" t="str">
        <f t="shared" si="42"/>
        <v>No</v>
      </c>
      <c r="BG22" t="str">
        <f t="shared" si="43"/>
        <v>No</v>
      </c>
      <c r="BH22" t="str">
        <f t="shared" si="44"/>
        <v>No</v>
      </c>
      <c r="BI22" t="str">
        <f t="shared" si="45"/>
        <v>No</v>
      </c>
      <c r="BJ22" t="str">
        <f t="shared" si="46"/>
        <v>Yes</v>
      </c>
      <c r="BK22" t="str">
        <f t="shared" si="47"/>
        <v>No</v>
      </c>
      <c r="BL22" t="str">
        <f t="shared" si="48"/>
        <v>No</v>
      </c>
      <c r="BM22" t="str">
        <f t="shared" si="49"/>
        <v>No</v>
      </c>
      <c r="BN22" t="str">
        <f t="shared" si="50"/>
        <v>No</v>
      </c>
      <c r="BQ22" t="str">
        <f t="shared" si="51"/>
        <v>No</v>
      </c>
      <c r="BR22" t="str">
        <f t="shared" si="52"/>
        <v>No</v>
      </c>
      <c r="BS22" t="str">
        <f t="shared" si="53"/>
        <v>No</v>
      </c>
      <c r="BT22" t="str">
        <f t="shared" si="54"/>
        <v>No</v>
      </c>
      <c r="BU22" t="str">
        <f t="shared" si="55"/>
        <v>No</v>
      </c>
      <c r="BV22" t="str">
        <f t="shared" si="56"/>
        <v>No</v>
      </c>
      <c r="BW22" t="str">
        <f t="shared" si="57"/>
        <v>No</v>
      </c>
      <c r="BX22" t="str">
        <f t="shared" si="58"/>
        <v>No</v>
      </c>
      <c r="BY22" t="str">
        <f t="shared" si="59"/>
        <v>No</v>
      </c>
      <c r="BZ22" t="str">
        <f t="shared" si="60"/>
        <v>No</v>
      </c>
      <c r="CA22" t="str">
        <f t="shared" si="61"/>
        <v>No</v>
      </c>
      <c r="CB22" t="str">
        <f t="shared" si="62"/>
        <v>No</v>
      </c>
      <c r="CC22" t="str">
        <f t="shared" si="63"/>
        <v>No</v>
      </c>
      <c r="CD22" t="str">
        <f t="shared" si="64"/>
        <v>No</v>
      </c>
      <c r="CE22" t="str">
        <f t="shared" si="65"/>
        <v>No</v>
      </c>
      <c r="CF22" t="str">
        <f t="shared" si="66"/>
        <v>No</v>
      </c>
      <c r="CG22" t="str">
        <f t="shared" si="67"/>
        <v>No</v>
      </c>
      <c r="CH22" t="str">
        <f t="shared" si="68"/>
        <v>No</v>
      </c>
      <c r="CI22" t="str">
        <f t="shared" si="69"/>
        <v>No</v>
      </c>
      <c r="CJ22" t="str">
        <f t="shared" si="70"/>
        <v>No</v>
      </c>
      <c r="CK22" t="str">
        <f t="shared" si="71"/>
        <v>No</v>
      </c>
      <c r="CL22" t="str">
        <f t="shared" si="72"/>
        <v>No</v>
      </c>
      <c r="CM22" t="str">
        <f t="shared" si="73"/>
        <v>Yes</v>
      </c>
      <c r="CN22" t="str">
        <f t="shared" si="74"/>
        <v>No</v>
      </c>
      <c r="CO22" t="str">
        <f t="shared" si="75"/>
        <v>No</v>
      </c>
      <c r="CP22" t="str">
        <f t="shared" si="76"/>
        <v>No</v>
      </c>
      <c r="CQ22" t="str">
        <f t="shared" si="77"/>
        <v>No</v>
      </c>
      <c r="CR22" t="str">
        <f t="shared" si="78"/>
        <v>No</v>
      </c>
      <c r="CS22" t="str">
        <f t="shared" si="79"/>
        <v>No</v>
      </c>
      <c r="CT22" t="str">
        <f t="shared" si="80"/>
        <v>No</v>
      </c>
      <c r="CU22" t="str">
        <f t="shared" si="81"/>
        <v>No</v>
      </c>
      <c r="CV22" t="str">
        <f t="shared" si="82"/>
        <v>No</v>
      </c>
      <c r="CW22" t="str">
        <f t="shared" si="83"/>
        <v>No</v>
      </c>
      <c r="CX22" t="str">
        <f t="shared" si="84"/>
        <v>No</v>
      </c>
      <c r="CY22" t="str">
        <f t="shared" si="85"/>
        <v>No</v>
      </c>
      <c r="CZ22" t="str">
        <f t="shared" si="86"/>
        <v>No</v>
      </c>
      <c r="DA22" t="str">
        <f t="shared" si="87"/>
        <v>No</v>
      </c>
      <c r="DB22" t="str">
        <f t="shared" si="88"/>
        <v>No</v>
      </c>
      <c r="DC22" t="str">
        <f t="shared" si="89"/>
        <v>No</v>
      </c>
      <c r="DD22" t="str">
        <f t="shared" si="90"/>
        <v>No</v>
      </c>
      <c r="DE22" t="str">
        <f t="shared" si="91"/>
        <v>No</v>
      </c>
      <c r="DF22" t="str">
        <f t="shared" si="92"/>
        <v>No</v>
      </c>
      <c r="DG22" t="str">
        <f t="shared" si="93"/>
        <v>No</v>
      </c>
      <c r="DH22" t="str">
        <f t="shared" si="94"/>
        <v>No</v>
      </c>
      <c r="DI22" t="str">
        <f t="shared" si="95"/>
        <v>No</v>
      </c>
    </row>
    <row r="23" spans="1:113" x14ac:dyDescent="0.25">
      <c r="A23" s="109">
        <v>4</v>
      </c>
      <c r="B23" s="109">
        <v>9</v>
      </c>
      <c r="C23" s="109" t="s">
        <v>215</v>
      </c>
      <c r="D23" s="109" t="s">
        <v>65</v>
      </c>
      <c r="E23" s="109" t="s">
        <v>66</v>
      </c>
      <c r="F23" s="109">
        <v>121</v>
      </c>
      <c r="G23" s="109">
        <v>1147</v>
      </c>
      <c r="H23" s="109">
        <v>4</v>
      </c>
      <c r="I23" s="109">
        <v>37988</v>
      </c>
      <c r="J23" s="109" t="s">
        <v>216</v>
      </c>
      <c r="K23" s="109" t="s">
        <v>214</v>
      </c>
      <c r="L23" s="109">
        <v>3.1</v>
      </c>
      <c r="M23" s="109">
        <f t="shared" si="96"/>
        <v>1</v>
      </c>
      <c r="N23" s="109" t="s">
        <v>469</v>
      </c>
      <c r="O23" t="str">
        <f>IF(AND($L23&gt;=1, $L23&lt;=4), "1-4", "No")</f>
        <v>1-4</v>
      </c>
      <c r="P23" t="str">
        <f>IF(AND($L23&gt;=5, $L23&lt;=10), "5-10", "No")</f>
        <v>No</v>
      </c>
      <c r="Q23" t="str">
        <f>IF(AND($L23&gt;=11, $L23&lt;=20), "11-20", "No")</f>
        <v>No</v>
      </c>
      <c r="R23" t="str">
        <f>IF(AND($L23&gt;=20, $L23&lt;=30), "20-30", "No")</f>
        <v>No</v>
      </c>
      <c r="S23" t="str">
        <f>IF(AND($L23&gt;=30, $L23&lt;=999), "&gt;30", "No")</f>
        <v>No</v>
      </c>
      <c r="T23" t="str">
        <f>IF(AND($H23&gt;=1, $H23&lt;=6), "1-4", "No")</f>
        <v>1-4</v>
      </c>
      <c r="U23" t="str">
        <f>IF(AND($H23&gt;=5, $H23&lt;=10), "5-10", "No")</f>
        <v>No</v>
      </c>
      <c r="V23" t="str">
        <f>IF(AND($H23&gt;=11, $H23&lt;=12), "11-12", "No")</f>
        <v>No</v>
      </c>
      <c r="W23" t="str">
        <f>IF(AND($F23&gt;=0, $F23&lt;=117), "0-117", "No")</f>
        <v>No</v>
      </c>
      <c r="X23" t="str">
        <f>IF(AND($F23&gt;=118, $F23&lt;=127), "118-127", "No")</f>
        <v>118-127</v>
      </c>
      <c r="Y23" t="str">
        <f>IF(AND($F23&gt;=128, $F23&lt;=999), "&gt;128", "No")</f>
        <v>No</v>
      </c>
      <c r="Z23" t="str">
        <f t="shared" si="12"/>
        <v>Yes</v>
      </c>
      <c r="AA23" t="str">
        <f t="shared" si="13"/>
        <v>No</v>
      </c>
      <c r="AB23" t="str">
        <f t="shared" si="14"/>
        <v>No</v>
      </c>
      <c r="AC23" t="str">
        <f t="shared" si="15"/>
        <v>No</v>
      </c>
      <c r="AD23" t="str">
        <f t="shared" si="16"/>
        <v>No</v>
      </c>
      <c r="AE23" t="str">
        <f t="shared" si="17"/>
        <v>No</v>
      </c>
      <c r="AF23" t="str">
        <f t="shared" si="18"/>
        <v>No</v>
      </c>
      <c r="AG23" t="str">
        <f t="shared" si="19"/>
        <v>No</v>
      </c>
      <c r="AH23" t="str">
        <f t="shared" si="20"/>
        <v>No</v>
      </c>
      <c r="AI23" t="str">
        <f t="shared" si="21"/>
        <v>No</v>
      </c>
      <c r="AJ23" t="str">
        <f t="shared" si="22"/>
        <v>No</v>
      </c>
      <c r="AK23" t="str">
        <f t="shared" si="23"/>
        <v>No</v>
      </c>
      <c r="AL23" t="str">
        <f t="shared" si="24"/>
        <v>No</v>
      </c>
      <c r="AM23" t="str">
        <f t="shared" si="25"/>
        <v>No</v>
      </c>
      <c r="AN23" t="str">
        <f t="shared" si="26"/>
        <v>No</v>
      </c>
      <c r="AP23" t="str">
        <f t="shared" si="27"/>
        <v>No</v>
      </c>
      <c r="AQ23" t="str">
        <f t="shared" si="28"/>
        <v>Yes</v>
      </c>
      <c r="AR23" t="str">
        <f t="shared" si="29"/>
        <v>No</v>
      </c>
      <c r="AS23" t="str">
        <f t="shared" si="30"/>
        <v>No</v>
      </c>
      <c r="AT23" t="str">
        <f t="shared" si="31"/>
        <v>No</v>
      </c>
      <c r="AU23" t="str">
        <f t="shared" si="32"/>
        <v>No</v>
      </c>
      <c r="AV23" t="str">
        <f t="shared" si="33"/>
        <v>No</v>
      </c>
      <c r="AW23" t="str">
        <f t="shared" si="34"/>
        <v>No</v>
      </c>
      <c r="AX23" t="str">
        <f t="shared" si="35"/>
        <v>No</v>
      </c>
      <c r="AY23" t="str">
        <f t="shared" si="36"/>
        <v>No</v>
      </c>
      <c r="AZ23" t="str">
        <f t="shared" si="37"/>
        <v>No</v>
      </c>
      <c r="BA23" t="str">
        <f t="shared" si="38"/>
        <v>No</v>
      </c>
      <c r="BB23" t="str">
        <f t="shared" si="39"/>
        <v>No</v>
      </c>
      <c r="BC23" t="str">
        <f t="shared" si="40"/>
        <v>No</v>
      </c>
      <c r="BD23" t="str">
        <f t="shared" si="41"/>
        <v>No</v>
      </c>
      <c r="BF23" t="str">
        <f t="shared" si="42"/>
        <v>No</v>
      </c>
      <c r="BG23" t="str">
        <f t="shared" si="43"/>
        <v>Yes</v>
      </c>
      <c r="BH23" t="str">
        <f t="shared" si="44"/>
        <v>No</v>
      </c>
      <c r="BI23" t="str">
        <f t="shared" si="45"/>
        <v>No</v>
      </c>
      <c r="BJ23" t="str">
        <f t="shared" si="46"/>
        <v>No</v>
      </c>
      <c r="BK23" t="str">
        <f t="shared" si="47"/>
        <v>No</v>
      </c>
      <c r="BL23" t="str">
        <f t="shared" si="48"/>
        <v>No</v>
      </c>
      <c r="BM23" t="str">
        <f t="shared" si="49"/>
        <v>No</v>
      </c>
      <c r="BN23" t="str">
        <f t="shared" si="50"/>
        <v>No</v>
      </c>
      <c r="BQ23" t="str">
        <f t="shared" si="51"/>
        <v>No</v>
      </c>
      <c r="BR23" t="str">
        <f t="shared" si="52"/>
        <v>Yes</v>
      </c>
      <c r="BS23" t="str">
        <f t="shared" si="53"/>
        <v>No</v>
      </c>
      <c r="BT23" t="str">
        <f t="shared" si="54"/>
        <v>No</v>
      </c>
      <c r="BU23" t="str">
        <f t="shared" si="55"/>
        <v>No</v>
      </c>
      <c r="BV23" t="str">
        <f t="shared" si="56"/>
        <v>No</v>
      </c>
      <c r="BW23" t="str">
        <f t="shared" si="57"/>
        <v>No</v>
      </c>
      <c r="BX23" t="str">
        <f t="shared" si="58"/>
        <v>No</v>
      </c>
      <c r="BY23" t="str">
        <f t="shared" si="59"/>
        <v>No</v>
      </c>
      <c r="BZ23" t="str">
        <f t="shared" si="60"/>
        <v>No</v>
      </c>
      <c r="CA23" t="str">
        <f t="shared" si="61"/>
        <v>No</v>
      </c>
      <c r="CB23" t="str">
        <f t="shared" si="62"/>
        <v>No</v>
      </c>
      <c r="CC23" t="str">
        <f t="shared" si="63"/>
        <v>No</v>
      </c>
      <c r="CD23" t="str">
        <f t="shared" si="64"/>
        <v>No</v>
      </c>
      <c r="CE23" t="str">
        <f t="shared" si="65"/>
        <v>No</v>
      </c>
      <c r="CF23" t="str">
        <f t="shared" si="66"/>
        <v>No</v>
      </c>
      <c r="CG23" t="str">
        <f t="shared" si="67"/>
        <v>No</v>
      </c>
      <c r="CH23" t="str">
        <f t="shared" si="68"/>
        <v>No</v>
      </c>
      <c r="CI23" t="str">
        <f t="shared" si="69"/>
        <v>No</v>
      </c>
      <c r="CJ23" t="str">
        <f t="shared" si="70"/>
        <v>No</v>
      </c>
      <c r="CK23" t="str">
        <f t="shared" si="71"/>
        <v>No</v>
      </c>
      <c r="CL23" t="str">
        <f t="shared" si="72"/>
        <v>No</v>
      </c>
      <c r="CM23" t="str">
        <f t="shared" si="73"/>
        <v>No</v>
      </c>
      <c r="CN23" t="str">
        <f t="shared" si="74"/>
        <v>No</v>
      </c>
      <c r="CO23" t="str">
        <f t="shared" si="75"/>
        <v>No</v>
      </c>
      <c r="CP23" t="str">
        <f t="shared" si="76"/>
        <v>No</v>
      </c>
      <c r="CQ23" t="str">
        <f t="shared" si="77"/>
        <v>No</v>
      </c>
      <c r="CR23" t="str">
        <f t="shared" si="78"/>
        <v>No</v>
      </c>
      <c r="CS23" t="str">
        <f t="shared" si="79"/>
        <v>No</v>
      </c>
      <c r="CT23" t="str">
        <f t="shared" si="80"/>
        <v>No</v>
      </c>
      <c r="CU23" t="str">
        <f t="shared" si="81"/>
        <v>No</v>
      </c>
      <c r="CV23" t="str">
        <f t="shared" si="82"/>
        <v>No</v>
      </c>
      <c r="CW23" t="str">
        <f t="shared" si="83"/>
        <v>No</v>
      </c>
      <c r="CX23" t="str">
        <f t="shared" si="84"/>
        <v>No</v>
      </c>
      <c r="CY23" t="str">
        <f t="shared" si="85"/>
        <v>No</v>
      </c>
      <c r="CZ23" t="str">
        <f t="shared" si="86"/>
        <v>No</v>
      </c>
      <c r="DA23" t="str">
        <f t="shared" si="87"/>
        <v>No</v>
      </c>
      <c r="DB23" t="str">
        <f t="shared" si="88"/>
        <v>No</v>
      </c>
      <c r="DC23" t="str">
        <f t="shared" si="89"/>
        <v>No</v>
      </c>
      <c r="DD23" t="str">
        <f t="shared" si="90"/>
        <v>No</v>
      </c>
      <c r="DE23" t="str">
        <f t="shared" si="91"/>
        <v>No</v>
      </c>
      <c r="DF23" t="str">
        <f t="shared" si="92"/>
        <v>No</v>
      </c>
      <c r="DG23" t="str">
        <f t="shared" si="93"/>
        <v>No</v>
      </c>
      <c r="DH23" t="str">
        <f t="shared" si="94"/>
        <v>No</v>
      </c>
      <c r="DI23" t="str">
        <f t="shared" si="95"/>
        <v>No</v>
      </c>
    </row>
    <row r="24" spans="1:113" x14ac:dyDescent="0.25">
      <c r="A24" s="109">
        <v>5</v>
      </c>
      <c r="B24" s="109">
        <v>12</v>
      </c>
      <c r="C24" s="109" t="s">
        <v>217</v>
      </c>
      <c r="D24" s="109" t="s">
        <v>68</v>
      </c>
      <c r="E24" s="109" t="s">
        <v>20</v>
      </c>
      <c r="F24" s="109">
        <v>118</v>
      </c>
      <c r="G24" s="109">
        <v>1138</v>
      </c>
      <c r="H24" s="109">
        <v>3</v>
      </c>
      <c r="I24" s="109">
        <v>38048</v>
      </c>
      <c r="J24" s="109" t="s">
        <v>218</v>
      </c>
      <c r="K24" s="109" t="s">
        <v>219</v>
      </c>
      <c r="L24" s="109">
        <v>27</v>
      </c>
      <c r="M24" s="109">
        <f t="shared" si="96"/>
        <v>10</v>
      </c>
      <c r="N24" s="109" t="s">
        <v>469</v>
      </c>
    </row>
    <row r="25" spans="1:113" x14ac:dyDescent="0.25">
      <c r="A25" s="109">
        <v>6</v>
      </c>
      <c r="B25" s="109">
        <v>5</v>
      </c>
      <c r="C25" s="109" t="s">
        <v>220</v>
      </c>
      <c r="D25" s="109" t="s">
        <v>70</v>
      </c>
      <c r="E25" s="109" t="s">
        <v>71</v>
      </c>
      <c r="F25" s="109">
        <v>130</v>
      </c>
      <c r="G25" s="109">
        <v>1134</v>
      </c>
      <c r="H25" s="109">
        <v>11</v>
      </c>
      <c r="I25" s="109">
        <v>37989</v>
      </c>
      <c r="J25" s="109" t="s">
        <v>221</v>
      </c>
      <c r="K25" s="109" t="s">
        <v>219</v>
      </c>
      <c r="L25" s="109">
        <v>16</v>
      </c>
      <c r="M25" s="109">
        <f t="shared" si="96"/>
        <v>7</v>
      </c>
      <c r="N25" s="109" t="s">
        <v>469</v>
      </c>
    </row>
    <row r="26" spans="1:113" x14ac:dyDescent="0.25">
      <c r="A26" s="109">
        <v>7</v>
      </c>
      <c r="B26" s="109">
        <v>1</v>
      </c>
      <c r="C26" s="109" t="s">
        <v>222</v>
      </c>
      <c r="D26" s="109" t="s">
        <v>42</v>
      </c>
      <c r="E26" s="109" t="s">
        <v>49</v>
      </c>
      <c r="F26" s="109">
        <v>135</v>
      </c>
      <c r="G26" s="109">
        <v>1175</v>
      </c>
      <c r="H26" s="109">
        <v>12</v>
      </c>
      <c r="I26" s="109">
        <v>4</v>
      </c>
      <c r="J26" s="109" t="s">
        <v>223</v>
      </c>
      <c r="K26" s="109" t="s">
        <v>224</v>
      </c>
      <c r="L26" s="109">
        <v>25</v>
      </c>
      <c r="M26" s="109">
        <f t="shared" si="96"/>
        <v>9</v>
      </c>
      <c r="N26" s="109" t="s">
        <v>469</v>
      </c>
    </row>
    <row r="27" spans="1:113" x14ac:dyDescent="0.25">
      <c r="A27" s="109">
        <v>8</v>
      </c>
      <c r="B27" s="109">
        <v>3</v>
      </c>
      <c r="C27" s="109" t="s">
        <v>225</v>
      </c>
      <c r="D27" s="109" t="s">
        <v>27</v>
      </c>
      <c r="E27" s="109" t="s">
        <v>74</v>
      </c>
      <c r="F27" s="109">
        <v>132</v>
      </c>
      <c r="G27" s="109">
        <v>1129</v>
      </c>
      <c r="H27" s="109">
        <v>8</v>
      </c>
      <c r="I27" s="109">
        <v>37990</v>
      </c>
      <c r="J27" s="109" t="s">
        <v>226</v>
      </c>
      <c r="K27" s="109" t="s">
        <v>227</v>
      </c>
      <c r="L27" s="109">
        <v>8.9</v>
      </c>
      <c r="M27" s="109">
        <f t="shared" si="96"/>
        <v>4</v>
      </c>
      <c r="N27" s="109" t="s">
        <v>469</v>
      </c>
    </row>
    <row r="28" spans="1:113" x14ac:dyDescent="0.25">
      <c r="A28" s="109">
        <v>9</v>
      </c>
      <c r="B28" s="109">
        <v>2</v>
      </c>
      <c r="C28" s="109" t="s">
        <v>228</v>
      </c>
      <c r="D28" s="109" t="s">
        <v>76</v>
      </c>
      <c r="E28" s="109" t="s">
        <v>46</v>
      </c>
      <c r="F28" s="109">
        <v>134</v>
      </c>
      <c r="G28" s="109">
        <v>1023</v>
      </c>
      <c r="H28" s="109">
        <v>2</v>
      </c>
      <c r="I28" s="109">
        <v>37991</v>
      </c>
      <c r="J28" s="109" t="s">
        <v>229</v>
      </c>
      <c r="K28" s="109" t="s">
        <v>230</v>
      </c>
      <c r="L28" s="109">
        <v>56</v>
      </c>
      <c r="M28" s="109">
        <f t="shared" si="96"/>
        <v>11</v>
      </c>
      <c r="N28" s="109" t="s">
        <v>469</v>
      </c>
    </row>
    <row r="29" spans="1:113" x14ac:dyDescent="0.25">
      <c r="A29" s="109">
        <v>10</v>
      </c>
      <c r="B29" s="109">
        <v>4</v>
      </c>
      <c r="C29" s="109" t="s">
        <v>231</v>
      </c>
      <c r="D29" s="109" t="s">
        <v>39</v>
      </c>
      <c r="E29" s="109" t="s">
        <v>52</v>
      </c>
      <c r="F29" s="109">
        <v>132</v>
      </c>
      <c r="G29" s="109">
        <v>1183</v>
      </c>
      <c r="H29" s="109">
        <v>7</v>
      </c>
      <c r="I29" s="109">
        <v>38051</v>
      </c>
      <c r="J29" s="109" t="s">
        <v>232</v>
      </c>
      <c r="K29" s="109" t="s">
        <v>233</v>
      </c>
      <c r="L29" s="109">
        <v>4.5</v>
      </c>
      <c r="M29" s="109">
        <f t="shared" si="96"/>
        <v>2</v>
      </c>
      <c r="N29" s="109" t="s">
        <v>469</v>
      </c>
    </row>
    <row r="30" spans="1:113" x14ac:dyDescent="0.25">
      <c r="A30" s="109">
        <v>11</v>
      </c>
      <c r="B30" s="109">
        <v>6</v>
      </c>
      <c r="C30" s="109" t="s">
        <v>234</v>
      </c>
      <c r="D30" s="109" t="s">
        <v>54</v>
      </c>
      <c r="E30" s="109" t="s">
        <v>24</v>
      </c>
      <c r="F30" s="109">
        <v>128</v>
      </c>
      <c r="G30" s="109">
        <v>1096</v>
      </c>
      <c r="H30" s="109">
        <v>6</v>
      </c>
      <c r="I30" s="109">
        <v>37993</v>
      </c>
      <c r="J30" s="109" t="s">
        <v>235</v>
      </c>
      <c r="K30" s="109" t="s">
        <v>236</v>
      </c>
      <c r="L30" s="109">
        <v>110</v>
      </c>
      <c r="M30" s="109">
        <f t="shared" si="96"/>
        <v>12</v>
      </c>
      <c r="N30" s="109" t="s">
        <v>469</v>
      </c>
    </row>
    <row r="31" spans="1:113" x14ac:dyDescent="0.25">
      <c r="A31" s="109">
        <v>12</v>
      </c>
      <c r="B31" s="109">
        <v>7</v>
      </c>
      <c r="C31" s="109" t="s">
        <v>237</v>
      </c>
      <c r="D31" s="109" t="s">
        <v>80</v>
      </c>
      <c r="E31" s="109" t="s">
        <v>37</v>
      </c>
      <c r="F31" s="109">
        <v>125</v>
      </c>
      <c r="G31" s="109">
        <v>1095</v>
      </c>
      <c r="H31" s="109">
        <v>1</v>
      </c>
      <c r="I31" s="109">
        <v>37993</v>
      </c>
      <c r="J31" s="109" t="s">
        <v>238</v>
      </c>
      <c r="K31" s="109" t="s">
        <v>236</v>
      </c>
      <c r="L31" s="109">
        <v>9.5</v>
      </c>
      <c r="M31" s="109">
        <f t="shared" si="96"/>
        <v>5</v>
      </c>
      <c r="N31" s="109" t="s">
        <v>469</v>
      </c>
    </row>
    <row r="32" spans="1:113" x14ac:dyDescent="0.25">
      <c r="M32" s="109" t="e">
        <f t="shared" si="96"/>
        <v>#N/A</v>
      </c>
      <c r="N32" s="109" t="s">
        <v>469</v>
      </c>
    </row>
    <row r="33" spans="1:113" x14ac:dyDescent="0.25">
      <c r="M33" s="109" t="e">
        <f t="shared" si="96"/>
        <v>#N/A</v>
      </c>
      <c r="N33" s="109" t="s">
        <v>469</v>
      </c>
    </row>
    <row r="34" spans="1:113" x14ac:dyDescent="0.25">
      <c r="A34" s="109" t="s">
        <v>0</v>
      </c>
      <c r="B34" s="109" t="s">
        <v>1</v>
      </c>
      <c r="C34" s="109" t="s">
        <v>2</v>
      </c>
      <c r="D34" s="109" t="s">
        <v>3</v>
      </c>
      <c r="E34" s="109" t="s">
        <v>4</v>
      </c>
      <c r="F34" s="109" t="s">
        <v>167</v>
      </c>
      <c r="G34" s="109" t="s">
        <v>168</v>
      </c>
      <c r="H34" s="109" t="s">
        <v>7</v>
      </c>
      <c r="I34" s="109" t="s">
        <v>169</v>
      </c>
      <c r="J34" s="109" t="s">
        <v>170</v>
      </c>
      <c r="K34" s="109" t="s">
        <v>171</v>
      </c>
      <c r="L34" s="109" t="s">
        <v>172</v>
      </c>
      <c r="M34" s="109" t="s">
        <v>467</v>
      </c>
      <c r="N34" s="109" t="s">
        <v>479</v>
      </c>
    </row>
    <row r="35" spans="1:113" x14ac:dyDescent="0.25">
      <c r="A35" s="109">
        <v>1</v>
      </c>
      <c r="B35" s="109">
        <v>8</v>
      </c>
      <c r="C35" s="109" t="s">
        <v>239</v>
      </c>
      <c r="D35" s="109" t="s">
        <v>19</v>
      </c>
      <c r="E35" s="109" t="s">
        <v>20</v>
      </c>
      <c r="F35" s="109">
        <v>122</v>
      </c>
      <c r="G35" s="109">
        <v>1097</v>
      </c>
      <c r="H35" s="109">
        <v>2</v>
      </c>
      <c r="I35" s="109" t="s">
        <v>21</v>
      </c>
      <c r="J35" s="109" t="s">
        <v>240</v>
      </c>
      <c r="K35" s="109" t="s">
        <v>241</v>
      </c>
      <c r="L35" s="109">
        <v>4.4000000000000004</v>
      </c>
      <c r="M35" s="109">
        <f>RANK(L35, $L$35:$L$49,1)</f>
        <v>2</v>
      </c>
      <c r="N35" s="109" t="s">
        <v>478</v>
      </c>
      <c r="O35" t="str">
        <f>IF(AND($L35&gt;=1, $L35&lt;=4), "1-4", "No")</f>
        <v>No</v>
      </c>
      <c r="P35" t="str">
        <f>IF(AND($L35&gt;=5, $L35&lt;=10), "5-10", "No")</f>
        <v>No</v>
      </c>
      <c r="Q35" t="str">
        <f>IF(AND($L35&gt;=11, $L35&lt;=20), "11-20", "No")</f>
        <v>No</v>
      </c>
      <c r="R35" t="str">
        <f>IF(AND($L35&gt;=20, $L35&lt;=30), "20-30", "No")</f>
        <v>No</v>
      </c>
      <c r="S35" t="str">
        <f>IF(AND($L35&gt;=30, $L35&lt;=999), "&gt;30", "No")</f>
        <v>No</v>
      </c>
      <c r="T35" t="str">
        <f>IF(AND($H35&gt;=1, $H35&lt;=6), "1-4", "No")</f>
        <v>1-4</v>
      </c>
      <c r="U35" t="str">
        <f>IF(AND($H35&gt;=5, $H35&lt;=10), "5-10", "No")</f>
        <v>No</v>
      </c>
      <c r="V35" t="str">
        <f>IF(AND($H35&gt;=11, $H35&lt;=12), "11-12", "No")</f>
        <v>No</v>
      </c>
      <c r="W35" t="str">
        <f>IF(AND($F35&gt;=0, $F35&lt;=117), "0-117", "No")</f>
        <v>No</v>
      </c>
      <c r="X35" t="str">
        <f>IF(AND($F35&gt;=118, $F35&lt;=127), "118-127", "No")</f>
        <v>118-127</v>
      </c>
      <c r="Y35" t="str">
        <f>IF(AND($F35&gt;=128, $F35&lt;=999), "&gt;128", "No")</f>
        <v>No</v>
      </c>
      <c r="Z35" t="str">
        <f t="shared" si="12"/>
        <v>No</v>
      </c>
      <c r="AA35" t="str">
        <f t="shared" si="13"/>
        <v>No</v>
      </c>
      <c r="AB35" t="str">
        <f t="shared" si="14"/>
        <v>No</v>
      </c>
      <c r="AC35" t="str">
        <f t="shared" si="15"/>
        <v>Yes</v>
      </c>
      <c r="AD35" t="str">
        <f t="shared" si="16"/>
        <v>No</v>
      </c>
      <c r="AE35" t="str">
        <f t="shared" si="17"/>
        <v>No</v>
      </c>
      <c r="AF35" t="str">
        <f t="shared" si="18"/>
        <v>No</v>
      </c>
      <c r="AG35" t="str">
        <f t="shared" si="19"/>
        <v>No</v>
      </c>
      <c r="AH35" t="str">
        <f t="shared" si="20"/>
        <v>No</v>
      </c>
      <c r="AI35" t="str">
        <f t="shared" si="21"/>
        <v>No</v>
      </c>
      <c r="AJ35" t="str">
        <f t="shared" si="22"/>
        <v>No</v>
      </c>
      <c r="AK35" t="str">
        <f t="shared" si="23"/>
        <v>No</v>
      </c>
      <c r="AL35" t="str">
        <f t="shared" si="24"/>
        <v>No</v>
      </c>
      <c r="AM35" t="str">
        <f t="shared" si="25"/>
        <v>No</v>
      </c>
      <c r="AN35" t="str">
        <f t="shared" si="26"/>
        <v>No</v>
      </c>
      <c r="AP35" t="str">
        <f t="shared" si="27"/>
        <v>No</v>
      </c>
      <c r="AQ35" t="str">
        <f t="shared" si="28"/>
        <v>No</v>
      </c>
      <c r="AR35" t="str">
        <f t="shared" si="29"/>
        <v>No</v>
      </c>
      <c r="AS35" t="str">
        <f t="shared" si="30"/>
        <v>No</v>
      </c>
      <c r="AT35" t="str">
        <f t="shared" si="31"/>
        <v>Yes</v>
      </c>
      <c r="AU35" t="str">
        <f t="shared" si="32"/>
        <v>No</v>
      </c>
      <c r="AV35" t="str">
        <f t="shared" si="33"/>
        <v>No</v>
      </c>
      <c r="AW35" t="str">
        <f t="shared" si="34"/>
        <v>No</v>
      </c>
      <c r="AX35" t="str">
        <f t="shared" si="35"/>
        <v>No</v>
      </c>
      <c r="AY35" t="str">
        <f t="shared" si="36"/>
        <v>No</v>
      </c>
      <c r="AZ35" t="str">
        <f t="shared" si="37"/>
        <v>No</v>
      </c>
      <c r="BA35" t="str">
        <f t="shared" si="38"/>
        <v>No</v>
      </c>
      <c r="BB35" t="str">
        <f t="shared" si="39"/>
        <v>No</v>
      </c>
      <c r="BC35" t="str">
        <f t="shared" si="40"/>
        <v>No</v>
      </c>
      <c r="BD35" t="str">
        <f t="shared" si="41"/>
        <v>No</v>
      </c>
      <c r="BF35" t="str">
        <f t="shared" si="42"/>
        <v>No</v>
      </c>
      <c r="BG35" t="str">
        <f t="shared" si="43"/>
        <v>Yes</v>
      </c>
      <c r="BH35" t="str">
        <f t="shared" si="44"/>
        <v>No</v>
      </c>
      <c r="BI35" t="str">
        <f t="shared" si="45"/>
        <v>No</v>
      </c>
      <c r="BJ35" t="str">
        <f t="shared" si="46"/>
        <v>No</v>
      </c>
      <c r="BK35" t="str">
        <f t="shared" si="47"/>
        <v>No</v>
      </c>
      <c r="BL35" t="str">
        <f t="shared" si="48"/>
        <v>No</v>
      </c>
      <c r="BM35" t="str">
        <f t="shared" si="49"/>
        <v>No</v>
      </c>
      <c r="BN35" t="str">
        <f t="shared" si="50"/>
        <v>No</v>
      </c>
      <c r="BQ35" t="str">
        <f t="shared" si="51"/>
        <v>No</v>
      </c>
      <c r="BR35" t="str">
        <f t="shared" si="52"/>
        <v>No</v>
      </c>
      <c r="BS35" t="str">
        <f t="shared" si="53"/>
        <v>No</v>
      </c>
      <c r="BT35" t="str">
        <f t="shared" si="54"/>
        <v>No</v>
      </c>
      <c r="BU35" t="str">
        <f t="shared" si="55"/>
        <v>No</v>
      </c>
      <c r="BV35" t="str">
        <f t="shared" si="56"/>
        <v>No</v>
      </c>
      <c r="BW35" t="str">
        <f t="shared" si="57"/>
        <v>No</v>
      </c>
      <c r="BX35" t="str">
        <f t="shared" si="58"/>
        <v>No</v>
      </c>
      <c r="BY35" t="str">
        <f t="shared" si="59"/>
        <v>No</v>
      </c>
      <c r="BZ35" t="str">
        <f t="shared" si="60"/>
        <v>No</v>
      </c>
      <c r="CA35" t="str">
        <f t="shared" si="61"/>
        <v>No</v>
      </c>
      <c r="CB35" t="str">
        <f t="shared" si="62"/>
        <v>No</v>
      </c>
      <c r="CC35" t="str">
        <f t="shared" si="63"/>
        <v>No</v>
      </c>
      <c r="CD35" t="str">
        <f t="shared" si="64"/>
        <v>No</v>
      </c>
      <c r="CE35" t="str">
        <f t="shared" si="65"/>
        <v>No</v>
      </c>
      <c r="CF35" t="str">
        <f t="shared" si="66"/>
        <v>No</v>
      </c>
      <c r="CG35" t="str">
        <f t="shared" si="67"/>
        <v>No</v>
      </c>
      <c r="CH35" t="str">
        <f t="shared" si="68"/>
        <v>No</v>
      </c>
      <c r="CI35" t="str">
        <f t="shared" si="69"/>
        <v>No</v>
      </c>
      <c r="CJ35" t="str">
        <f t="shared" si="70"/>
        <v>No</v>
      </c>
      <c r="CK35" t="str">
        <f t="shared" si="71"/>
        <v>No</v>
      </c>
      <c r="CL35" t="str">
        <f t="shared" si="72"/>
        <v>No</v>
      </c>
      <c r="CM35" t="str">
        <f t="shared" si="73"/>
        <v>No</v>
      </c>
      <c r="CN35" t="str">
        <f t="shared" si="74"/>
        <v>No</v>
      </c>
      <c r="CO35" t="str">
        <f t="shared" si="75"/>
        <v>No</v>
      </c>
      <c r="CP35" t="str">
        <f t="shared" si="76"/>
        <v>No</v>
      </c>
      <c r="CQ35" t="str">
        <f t="shared" si="77"/>
        <v>No</v>
      </c>
      <c r="CR35" t="str">
        <f t="shared" si="78"/>
        <v>No</v>
      </c>
      <c r="CS35" t="str">
        <f t="shared" si="79"/>
        <v>No</v>
      </c>
      <c r="CT35" t="str">
        <f t="shared" si="80"/>
        <v>No</v>
      </c>
      <c r="CU35" t="str">
        <f t="shared" si="81"/>
        <v>No</v>
      </c>
      <c r="CV35" t="str">
        <f t="shared" si="82"/>
        <v>No</v>
      </c>
      <c r="CW35" t="str">
        <f t="shared" si="83"/>
        <v>No</v>
      </c>
      <c r="CX35" t="str">
        <f t="shared" si="84"/>
        <v>No</v>
      </c>
      <c r="CY35" t="str">
        <f t="shared" si="85"/>
        <v>No</v>
      </c>
      <c r="CZ35" t="str">
        <f t="shared" si="86"/>
        <v>No</v>
      </c>
      <c r="DA35" t="str">
        <f t="shared" si="87"/>
        <v>No</v>
      </c>
      <c r="DB35" t="str">
        <f t="shared" si="88"/>
        <v>No</v>
      </c>
      <c r="DC35" t="str">
        <f t="shared" si="89"/>
        <v>No</v>
      </c>
      <c r="DD35" t="str">
        <f t="shared" si="90"/>
        <v>No</v>
      </c>
      <c r="DE35" t="str">
        <f t="shared" si="91"/>
        <v>No</v>
      </c>
      <c r="DF35" t="str">
        <f t="shared" si="92"/>
        <v>No</v>
      </c>
      <c r="DG35" t="str">
        <f t="shared" si="93"/>
        <v>No</v>
      </c>
      <c r="DH35" t="str">
        <f t="shared" si="94"/>
        <v>No</v>
      </c>
      <c r="DI35" t="str">
        <f t="shared" si="95"/>
        <v>No</v>
      </c>
    </row>
    <row r="36" spans="1:113" x14ac:dyDescent="0.25">
      <c r="A36" s="109" t="s">
        <v>58</v>
      </c>
      <c r="B36" s="109">
        <v>2</v>
      </c>
      <c r="C36" s="109" t="s">
        <v>242</v>
      </c>
      <c r="D36" s="109" t="s">
        <v>23</v>
      </c>
      <c r="E36" s="109" t="s">
        <v>28</v>
      </c>
      <c r="F36" s="109">
        <v>132</v>
      </c>
      <c r="G36" s="109">
        <v>1177</v>
      </c>
      <c r="H36" s="109">
        <v>7</v>
      </c>
      <c r="I36" s="109">
        <v>1</v>
      </c>
      <c r="J36" s="109" t="s">
        <v>243</v>
      </c>
      <c r="K36" s="109" t="s">
        <v>187</v>
      </c>
      <c r="L36" s="109">
        <v>6.6</v>
      </c>
      <c r="M36" s="109">
        <f t="shared" ref="M36:M49" si="97">RANK(L36, $L$35:$L$49,1)</f>
        <v>3</v>
      </c>
      <c r="N36" s="109" t="s">
        <v>478</v>
      </c>
      <c r="O36" t="str">
        <f>IF(AND($L36&gt;=1, $L36&lt;=4), "1-4", "No")</f>
        <v>No</v>
      </c>
      <c r="P36" t="str">
        <f>IF(AND($L36&gt;=5, $L36&lt;=10), "5-10", "No")</f>
        <v>5-10</v>
      </c>
      <c r="Q36" t="str">
        <f>IF(AND($L36&gt;=11, $L36&lt;=20), "11-20", "No")</f>
        <v>No</v>
      </c>
      <c r="R36" t="str">
        <f>IF(AND($L36&gt;=20, $L36&lt;=30), "20-30", "No")</f>
        <v>No</v>
      </c>
      <c r="S36" t="str">
        <f>IF(AND($L36&gt;=30, $L36&lt;=999), "&gt;30", "No")</f>
        <v>No</v>
      </c>
      <c r="T36" t="str">
        <f>IF(AND($H36&gt;=1, $H36&lt;=6), "1-4", "No")</f>
        <v>No</v>
      </c>
      <c r="U36" t="str">
        <f>IF(AND($H36&gt;=5, $H36&lt;=10), "5-10", "No")</f>
        <v>5-10</v>
      </c>
      <c r="V36" t="str">
        <f>IF(AND($H36&gt;=11, $H36&lt;=12), "11-12", "No")</f>
        <v>No</v>
      </c>
      <c r="W36" t="str">
        <f>IF(AND($F36&gt;=0, $F36&lt;=117), "0-117", "No")</f>
        <v>No</v>
      </c>
      <c r="X36" t="str">
        <f>IF(AND($F36&gt;=118, $F36&lt;=127), "118-127", "No")</f>
        <v>No</v>
      </c>
      <c r="Y36" t="str">
        <f>IF(AND($F36&gt;=128, $F36&lt;=999), "&gt;128", "No")</f>
        <v>&gt;128</v>
      </c>
      <c r="Z36" t="str">
        <f t="shared" si="12"/>
        <v>No</v>
      </c>
      <c r="AA36" t="str">
        <f t="shared" si="13"/>
        <v>No</v>
      </c>
      <c r="AB36" t="str">
        <f t="shared" si="14"/>
        <v>No</v>
      </c>
      <c r="AC36" t="str">
        <f t="shared" si="15"/>
        <v>No</v>
      </c>
      <c r="AD36" t="str">
        <f t="shared" si="16"/>
        <v>Yes</v>
      </c>
      <c r="AE36" t="str">
        <f t="shared" si="17"/>
        <v>No</v>
      </c>
      <c r="AF36" t="str">
        <f t="shared" si="18"/>
        <v>No</v>
      </c>
      <c r="AG36" t="str">
        <f t="shared" si="19"/>
        <v>No</v>
      </c>
      <c r="AH36" t="str">
        <f t="shared" si="20"/>
        <v>No</v>
      </c>
      <c r="AI36" t="str">
        <f t="shared" si="21"/>
        <v>No</v>
      </c>
      <c r="AJ36" t="str">
        <f t="shared" si="22"/>
        <v>No</v>
      </c>
      <c r="AK36" t="str">
        <f t="shared" si="23"/>
        <v>No</v>
      </c>
      <c r="AL36" t="str">
        <f t="shared" si="24"/>
        <v>No</v>
      </c>
      <c r="AM36" t="str">
        <f t="shared" si="25"/>
        <v>No</v>
      </c>
      <c r="AN36" t="str">
        <f t="shared" si="26"/>
        <v>No</v>
      </c>
      <c r="AP36" t="str">
        <f t="shared" si="27"/>
        <v>No</v>
      </c>
      <c r="AQ36" t="str">
        <f t="shared" si="28"/>
        <v>No</v>
      </c>
      <c r="AR36" t="str">
        <f t="shared" si="29"/>
        <v>No</v>
      </c>
      <c r="AS36" t="str">
        <f t="shared" si="30"/>
        <v>No</v>
      </c>
      <c r="AT36" t="str">
        <f t="shared" si="31"/>
        <v>No</v>
      </c>
      <c r="AU36" t="str">
        <f t="shared" si="32"/>
        <v>Yes</v>
      </c>
      <c r="AV36" t="str">
        <f t="shared" si="33"/>
        <v>No</v>
      </c>
      <c r="AW36" t="str">
        <f t="shared" si="34"/>
        <v>No</v>
      </c>
      <c r="AX36" t="str">
        <f t="shared" si="35"/>
        <v>No</v>
      </c>
      <c r="AY36" t="str">
        <f t="shared" si="36"/>
        <v>No</v>
      </c>
      <c r="AZ36" t="str">
        <f t="shared" si="37"/>
        <v>No</v>
      </c>
      <c r="BA36" t="str">
        <f t="shared" si="38"/>
        <v>No</v>
      </c>
      <c r="BB36" t="str">
        <f t="shared" si="39"/>
        <v>No</v>
      </c>
      <c r="BC36" t="str">
        <f t="shared" si="40"/>
        <v>No</v>
      </c>
      <c r="BD36" t="str">
        <f t="shared" si="41"/>
        <v>No</v>
      </c>
      <c r="BF36" t="str">
        <f t="shared" si="42"/>
        <v>No</v>
      </c>
      <c r="BG36" t="str">
        <f t="shared" si="43"/>
        <v>No</v>
      </c>
      <c r="BH36" t="str">
        <f t="shared" si="44"/>
        <v>No</v>
      </c>
      <c r="BI36" t="str">
        <f t="shared" si="45"/>
        <v>No</v>
      </c>
      <c r="BJ36" t="str">
        <f t="shared" si="46"/>
        <v>No</v>
      </c>
      <c r="BK36" t="str">
        <f t="shared" si="47"/>
        <v>Yes</v>
      </c>
      <c r="BL36" t="str">
        <f t="shared" si="48"/>
        <v>No</v>
      </c>
      <c r="BM36" t="str">
        <f t="shared" si="49"/>
        <v>No</v>
      </c>
      <c r="BN36" t="str">
        <f t="shared" si="50"/>
        <v>No</v>
      </c>
      <c r="BQ36" t="str">
        <f t="shared" si="51"/>
        <v>No</v>
      </c>
      <c r="BR36" t="str">
        <f t="shared" si="52"/>
        <v>No</v>
      </c>
      <c r="BS36" t="str">
        <f t="shared" si="53"/>
        <v>No</v>
      </c>
      <c r="BT36" t="str">
        <f t="shared" si="54"/>
        <v>No</v>
      </c>
      <c r="BU36" t="str">
        <f t="shared" si="55"/>
        <v>No</v>
      </c>
      <c r="BV36" t="str">
        <f t="shared" si="56"/>
        <v>No</v>
      </c>
      <c r="BW36" t="str">
        <f t="shared" si="57"/>
        <v>No</v>
      </c>
      <c r="BX36" t="str">
        <f t="shared" si="58"/>
        <v>No</v>
      </c>
      <c r="BY36" t="str">
        <f t="shared" si="59"/>
        <v>No</v>
      </c>
      <c r="BZ36" t="str">
        <f t="shared" si="60"/>
        <v>No</v>
      </c>
      <c r="CA36" t="str">
        <f t="shared" si="61"/>
        <v>No</v>
      </c>
      <c r="CB36" t="str">
        <f t="shared" si="62"/>
        <v>No</v>
      </c>
      <c r="CC36" t="str">
        <f t="shared" si="63"/>
        <v>No</v>
      </c>
      <c r="CD36" t="str">
        <f t="shared" si="64"/>
        <v>No</v>
      </c>
      <c r="CE36" t="str">
        <f t="shared" si="65"/>
        <v>Yes</v>
      </c>
      <c r="CF36" t="str">
        <f t="shared" si="66"/>
        <v>No</v>
      </c>
      <c r="CG36" t="str">
        <f t="shared" si="67"/>
        <v>No</v>
      </c>
      <c r="CH36" t="str">
        <f t="shared" si="68"/>
        <v>No</v>
      </c>
      <c r="CI36" t="str">
        <f t="shared" si="69"/>
        <v>No</v>
      </c>
      <c r="CJ36" t="str">
        <f t="shared" si="70"/>
        <v>No</v>
      </c>
      <c r="CK36" t="str">
        <f t="shared" si="71"/>
        <v>No</v>
      </c>
      <c r="CL36" t="str">
        <f t="shared" si="72"/>
        <v>No</v>
      </c>
      <c r="CM36" t="str">
        <f t="shared" si="73"/>
        <v>No</v>
      </c>
      <c r="CN36" t="str">
        <f t="shared" si="74"/>
        <v>No</v>
      </c>
      <c r="CO36" t="str">
        <f t="shared" si="75"/>
        <v>No</v>
      </c>
      <c r="CP36" t="str">
        <f t="shared" si="76"/>
        <v>No</v>
      </c>
      <c r="CQ36" t="str">
        <f t="shared" si="77"/>
        <v>No</v>
      </c>
      <c r="CR36" t="str">
        <f t="shared" si="78"/>
        <v>No</v>
      </c>
      <c r="CS36" t="str">
        <f t="shared" si="79"/>
        <v>No</v>
      </c>
      <c r="CT36" t="str">
        <f t="shared" si="80"/>
        <v>No</v>
      </c>
      <c r="CU36" t="str">
        <f t="shared" si="81"/>
        <v>No</v>
      </c>
      <c r="CV36" t="str">
        <f t="shared" si="82"/>
        <v>No</v>
      </c>
      <c r="CW36" t="str">
        <f t="shared" si="83"/>
        <v>No</v>
      </c>
      <c r="CX36" t="str">
        <f t="shared" si="84"/>
        <v>No</v>
      </c>
      <c r="CY36" t="str">
        <f t="shared" si="85"/>
        <v>No</v>
      </c>
      <c r="CZ36" t="str">
        <f t="shared" si="86"/>
        <v>No</v>
      </c>
      <c r="DA36" t="str">
        <f t="shared" si="87"/>
        <v>No</v>
      </c>
      <c r="DB36" t="str">
        <f t="shared" si="88"/>
        <v>No</v>
      </c>
      <c r="DC36" t="str">
        <f t="shared" si="89"/>
        <v>No</v>
      </c>
      <c r="DD36" t="str">
        <f t="shared" si="90"/>
        <v>No</v>
      </c>
      <c r="DE36" t="str">
        <f t="shared" si="91"/>
        <v>No</v>
      </c>
      <c r="DF36" t="str">
        <f t="shared" si="92"/>
        <v>No</v>
      </c>
      <c r="DG36" t="str">
        <f t="shared" si="93"/>
        <v>No</v>
      </c>
      <c r="DH36" t="str">
        <f t="shared" si="94"/>
        <v>No</v>
      </c>
      <c r="DI36" t="str">
        <f t="shared" si="95"/>
        <v>No</v>
      </c>
    </row>
    <row r="37" spans="1:113" x14ac:dyDescent="0.25">
      <c r="A37" s="109">
        <v>3</v>
      </c>
      <c r="B37" s="109">
        <v>12</v>
      </c>
      <c r="C37" s="109" t="s">
        <v>244</v>
      </c>
      <c r="D37" s="109" t="s">
        <v>27</v>
      </c>
      <c r="E37" s="109" t="s">
        <v>71</v>
      </c>
      <c r="F37" s="109">
        <v>118</v>
      </c>
      <c r="G37" s="109">
        <v>1066</v>
      </c>
      <c r="H37" s="109">
        <v>12</v>
      </c>
      <c r="I37" s="109">
        <v>37987</v>
      </c>
      <c r="J37" s="109" t="s">
        <v>245</v>
      </c>
      <c r="K37" s="109" t="s">
        <v>187</v>
      </c>
      <c r="L37" s="109">
        <v>26</v>
      </c>
      <c r="M37" s="109">
        <f t="shared" si="97"/>
        <v>8</v>
      </c>
      <c r="N37" s="109" t="s">
        <v>478</v>
      </c>
      <c r="O37" t="str">
        <f>IF(AND($L37&gt;=1, $L37&lt;=4), "1-4", "No")</f>
        <v>No</v>
      </c>
      <c r="P37" t="str">
        <f>IF(AND($L37&gt;=5, $L37&lt;=10), "5-10", "No")</f>
        <v>No</v>
      </c>
      <c r="Q37" t="str">
        <f>IF(AND($L37&gt;=11, $L37&lt;=20), "11-20", "No")</f>
        <v>No</v>
      </c>
      <c r="R37" t="str">
        <f>IF(AND($L37&gt;=20, $L37&lt;=30), "20-30", "No")</f>
        <v>20-30</v>
      </c>
      <c r="S37" t="str">
        <f>IF(AND($L37&gt;=30, $L37&lt;=999), "&gt;30", "No")</f>
        <v>No</v>
      </c>
      <c r="T37" t="str">
        <f>IF(AND($H37&gt;=1, $H37&lt;=6), "1-4", "No")</f>
        <v>No</v>
      </c>
      <c r="U37" t="str">
        <f>IF(AND($H37&gt;=5, $H37&lt;=10), "5-10", "No")</f>
        <v>No</v>
      </c>
      <c r="V37" t="str">
        <f>IF(AND($H37&gt;=11, $H37&lt;=12), "11-12", "No")</f>
        <v>11-12</v>
      </c>
      <c r="W37" t="str">
        <f>IF(AND($F37&gt;=0, $F37&lt;=117), "0-117", "No")</f>
        <v>No</v>
      </c>
      <c r="X37" t="str">
        <f>IF(AND($F37&gt;=118, $F37&lt;=127), "118-127", "No")</f>
        <v>118-127</v>
      </c>
      <c r="Y37" t="str">
        <f>IF(AND($F37&gt;=128, $F37&lt;=999), "&gt;128", "No")</f>
        <v>No</v>
      </c>
      <c r="Z37" t="str">
        <f t="shared" si="12"/>
        <v>No</v>
      </c>
      <c r="AA37" t="str">
        <f t="shared" si="13"/>
        <v>No</v>
      </c>
      <c r="AB37" t="str">
        <f t="shared" si="14"/>
        <v>No</v>
      </c>
      <c r="AC37" t="str">
        <f t="shared" si="15"/>
        <v>No</v>
      </c>
      <c r="AD37" t="str">
        <f t="shared" si="16"/>
        <v>No</v>
      </c>
      <c r="AE37" t="str">
        <f t="shared" si="17"/>
        <v>No</v>
      </c>
      <c r="AF37" t="str">
        <f t="shared" si="18"/>
        <v>No</v>
      </c>
      <c r="AG37" t="str">
        <f t="shared" si="19"/>
        <v>No</v>
      </c>
      <c r="AH37" t="str">
        <f t="shared" si="20"/>
        <v>No</v>
      </c>
      <c r="AI37" t="str">
        <f t="shared" si="21"/>
        <v>No</v>
      </c>
      <c r="AJ37" t="str">
        <f t="shared" si="22"/>
        <v>No</v>
      </c>
      <c r="AK37" t="str">
        <f t="shared" si="23"/>
        <v>Yes</v>
      </c>
      <c r="AL37" t="str">
        <f t="shared" si="24"/>
        <v>No</v>
      </c>
      <c r="AM37" t="str">
        <f t="shared" si="25"/>
        <v>No</v>
      </c>
      <c r="AN37" t="str">
        <f t="shared" si="26"/>
        <v>No</v>
      </c>
      <c r="AP37" t="str">
        <f t="shared" si="27"/>
        <v>No</v>
      </c>
      <c r="AQ37" t="str">
        <f t="shared" si="28"/>
        <v>No</v>
      </c>
      <c r="AR37" t="str">
        <f t="shared" si="29"/>
        <v>No</v>
      </c>
      <c r="AS37" t="str">
        <f t="shared" si="30"/>
        <v>No</v>
      </c>
      <c r="AT37" t="str">
        <f t="shared" si="31"/>
        <v>No</v>
      </c>
      <c r="AU37" t="str">
        <f t="shared" si="32"/>
        <v>No</v>
      </c>
      <c r="AV37" t="str">
        <f t="shared" si="33"/>
        <v>No</v>
      </c>
      <c r="AW37" t="str">
        <f t="shared" si="34"/>
        <v>No</v>
      </c>
      <c r="AX37" t="str">
        <f t="shared" si="35"/>
        <v>No</v>
      </c>
      <c r="AY37" t="str">
        <f t="shared" si="36"/>
        <v>No</v>
      </c>
      <c r="AZ37" t="str">
        <f t="shared" si="37"/>
        <v>Yes</v>
      </c>
      <c r="BA37" t="str">
        <f t="shared" si="38"/>
        <v>No</v>
      </c>
      <c r="BB37" t="str">
        <f t="shared" si="39"/>
        <v>No</v>
      </c>
      <c r="BC37" t="str">
        <f t="shared" si="40"/>
        <v>No</v>
      </c>
      <c r="BD37" t="str">
        <f t="shared" si="41"/>
        <v>No</v>
      </c>
      <c r="BF37" t="str">
        <f t="shared" si="42"/>
        <v>No</v>
      </c>
      <c r="BG37" t="str">
        <f t="shared" si="43"/>
        <v>No</v>
      </c>
      <c r="BH37" t="str">
        <f t="shared" si="44"/>
        <v>No</v>
      </c>
      <c r="BI37" t="str">
        <f t="shared" si="45"/>
        <v>No</v>
      </c>
      <c r="BJ37" t="str">
        <f t="shared" si="46"/>
        <v>No</v>
      </c>
      <c r="BK37" t="str">
        <f t="shared" si="47"/>
        <v>No</v>
      </c>
      <c r="BL37" t="str">
        <f t="shared" si="48"/>
        <v>No</v>
      </c>
      <c r="BM37" t="str">
        <f t="shared" si="49"/>
        <v>Yes</v>
      </c>
      <c r="BN37" t="str">
        <f t="shared" si="50"/>
        <v>No</v>
      </c>
      <c r="BQ37" t="str">
        <f t="shared" si="51"/>
        <v>No</v>
      </c>
      <c r="BR37" t="str">
        <f t="shared" si="52"/>
        <v>No</v>
      </c>
      <c r="BS37" t="str">
        <f t="shared" si="53"/>
        <v>No</v>
      </c>
      <c r="BT37" t="str">
        <f t="shared" si="54"/>
        <v>No</v>
      </c>
      <c r="BU37" t="str">
        <f t="shared" si="55"/>
        <v>No</v>
      </c>
      <c r="BV37" t="str">
        <f t="shared" si="56"/>
        <v>No</v>
      </c>
      <c r="BW37" t="str">
        <f t="shared" si="57"/>
        <v>No</v>
      </c>
      <c r="BX37" t="str">
        <f t="shared" si="58"/>
        <v>No</v>
      </c>
      <c r="BY37" t="str">
        <f t="shared" si="59"/>
        <v>No</v>
      </c>
      <c r="BZ37" t="str">
        <f t="shared" si="60"/>
        <v>No</v>
      </c>
      <c r="CA37" t="str">
        <f t="shared" si="61"/>
        <v>No</v>
      </c>
      <c r="CB37" t="str">
        <f t="shared" si="62"/>
        <v>No</v>
      </c>
      <c r="CC37" t="str">
        <f t="shared" si="63"/>
        <v>No</v>
      </c>
      <c r="CD37" t="str">
        <f t="shared" si="64"/>
        <v>No</v>
      </c>
      <c r="CE37" t="str">
        <f t="shared" si="65"/>
        <v>No</v>
      </c>
      <c r="CF37" t="str">
        <f t="shared" si="66"/>
        <v>No</v>
      </c>
      <c r="CG37" t="str">
        <f t="shared" si="67"/>
        <v>No</v>
      </c>
      <c r="CH37" t="str">
        <f t="shared" si="68"/>
        <v>No</v>
      </c>
      <c r="CI37" t="str">
        <f t="shared" si="69"/>
        <v>No</v>
      </c>
      <c r="CJ37" t="str">
        <f t="shared" si="70"/>
        <v>No</v>
      </c>
      <c r="CK37" t="str">
        <f t="shared" si="71"/>
        <v>No</v>
      </c>
      <c r="CL37" t="str">
        <f t="shared" si="72"/>
        <v>No</v>
      </c>
      <c r="CM37" t="str">
        <f t="shared" si="73"/>
        <v>No</v>
      </c>
      <c r="CN37" t="str">
        <f t="shared" si="74"/>
        <v>No</v>
      </c>
      <c r="CO37" t="str">
        <f t="shared" si="75"/>
        <v>No</v>
      </c>
      <c r="CP37" t="str">
        <f t="shared" si="76"/>
        <v>No</v>
      </c>
      <c r="CQ37" t="str">
        <f t="shared" si="77"/>
        <v>No</v>
      </c>
      <c r="CR37" t="str">
        <f t="shared" si="78"/>
        <v>No</v>
      </c>
      <c r="CS37" t="str">
        <f t="shared" si="79"/>
        <v>No</v>
      </c>
      <c r="CT37" t="str">
        <f t="shared" si="80"/>
        <v>No</v>
      </c>
      <c r="CU37" t="str">
        <f t="shared" si="81"/>
        <v>No</v>
      </c>
      <c r="CV37" t="str">
        <f t="shared" si="82"/>
        <v>No</v>
      </c>
      <c r="CW37" t="str">
        <f t="shared" si="83"/>
        <v>No</v>
      </c>
      <c r="CX37" t="str">
        <f t="shared" si="84"/>
        <v>No</v>
      </c>
      <c r="CY37" t="str">
        <f t="shared" si="85"/>
        <v>Yes</v>
      </c>
      <c r="CZ37" t="str">
        <f t="shared" si="86"/>
        <v>No</v>
      </c>
      <c r="DA37" t="str">
        <f t="shared" si="87"/>
        <v>No</v>
      </c>
      <c r="DB37" t="str">
        <f t="shared" si="88"/>
        <v>No</v>
      </c>
      <c r="DC37" t="str">
        <f t="shared" si="89"/>
        <v>No</v>
      </c>
      <c r="DD37" t="str">
        <f t="shared" si="90"/>
        <v>No</v>
      </c>
      <c r="DE37" t="str">
        <f t="shared" si="91"/>
        <v>No</v>
      </c>
      <c r="DF37" t="str">
        <f t="shared" si="92"/>
        <v>No</v>
      </c>
      <c r="DG37" t="str">
        <f t="shared" si="93"/>
        <v>No</v>
      </c>
      <c r="DH37" t="str">
        <f t="shared" si="94"/>
        <v>No</v>
      </c>
      <c r="DI37" t="str">
        <f t="shared" si="95"/>
        <v>No</v>
      </c>
    </row>
    <row r="38" spans="1:113" x14ac:dyDescent="0.25">
      <c r="A38" s="109" t="s">
        <v>84</v>
      </c>
      <c r="B38" s="109">
        <v>1</v>
      </c>
      <c r="C38" s="109" t="s">
        <v>246</v>
      </c>
      <c r="D38" s="109" t="s">
        <v>30</v>
      </c>
      <c r="E38" s="109" t="s">
        <v>60</v>
      </c>
      <c r="F38" s="109">
        <v>135</v>
      </c>
      <c r="G38" s="109">
        <v>1018</v>
      </c>
      <c r="H38" s="109">
        <v>11</v>
      </c>
      <c r="I38" s="109">
        <v>37257</v>
      </c>
      <c r="J38" s="109" t="s">
        <v>247</v>
      </c>
      <c r="K38" s="109" t="s">
        <v>248</v>
      </c>
      <c r="L38" s="109">
        <v>32</v>
      </c>
      <c r="M38" s="109">
        <f t="shared" si="97"/>
        <v>9</v>
      </c>
      <c r="N38" s="109" t="s">
        <v>478</v>
      </c>
      <c r="O38" t="str">
        <f>IF(AND($L38&gt;=1, $L38&lt;=4), "1-4", "No")</f>
        <v>No</v>
      </c>
      <c r="P38" t="str">
        <f>IF(AND($L38&gt;=5, $L38&lt;=10), "5-10", "No")</f>
        <v>No</v>
      </c>
      <c r="Q38" t="str">
        <f>IF(AND($L38&gt;=11, $L38&lt;=20), "11-20", "No")</f>
        <v>No</v>
      </c>
      <c r="R38" t="str">
        <f>IF(AND($L38&gt;=20, $L38&lt;=30), "20-30", "No")</f>
        <v>No</v>
      </c>
      <c r="S38" t="str">
        <f>IF(AND($L38&gt;=30, $L38&lt;=999), "&gt;30", "No")</f>
        <v>&gt;30</v>
      </c>
      <c r="T38" t="str">
        <f>IF(AND($H38&gt;=1, $H38&lt;=6), "1-4", "No")</f>
        <v>No</v>
      </c>
      <c r="U38" t="str">
        <f>IF(AND($H38&gt;=5, $H38&lt;=10), "5-10", "No")</f>
        <v>No</v>
      </c>
      <c r="V38" t="str">
        <f>IF(AND($H38&gt;=11, $H38&lt;=12), "11-12", "No")</f>
        <v>11-12</v>
      </c>
      <c r="W38" t="str">
        <f>IF(AND($F38&gt;=0, $F38&lt;=117), "0-117", "No")</f>
        <v>No</v>
      </c>
      <c r="X38" t="str">
        <f>IF(AND($F38&gt;=118, $F38&lt;=127), "118-127", "No")</f>
        <v>No</v>
      </c>
      <c r="Y38" t="str">
        <f>IF(AND($F38&gt;=128, $F38&lt;=999), "&gt;128", "No")</f>
        <v>&gt;128</v>
      </c>
      <c r="Z38" t="str">
        <f t="shared" si="12"/>
        <v>No</v>
      </c>
      <c r="AA38" t="str">
        <f t="shared" si="13"/>
        <v>No</v>
      </c>
      <c r="AB38" t="str">
        <f t="shared" si="14"/>
        <v>No</v>
      </c>
      <c r="AC38" t="str">
        <f t="shared" si="15"/>
        <v>No</v>
      </c>
      <c r="AD38" t="str">
        <f t="shared" si="16"/>
        <v>No</v>
      </c>
      <c r="AE38" t="str">
        <f t="shared" si="17"/>
        <v>No</v>
      </c>
      <c r="AF38" t="str">
        <f t="shared" si="18"/>
        <v>No</v>
      </c>
      <c r="AG38" t="str">
        <f t="shared" si="19"/>
        <v>No</v>
      </c>
      <c r="AH38" t="str">
        <f t="shared" si="20"/>
        <v>No</v>
      </c>
      <c r="AI38" t="str">
        <f t="shared" si="21"/>
        <v>No</v>
      </c>
      <c r="AJ38" t="str">
        <f t="shared" si="22"/>
        <v>No</v>
      </c>
      <c r="AK38" t="str">
        <f t="shared" si="23"/>
        <v>No</v>
      </c>
      <c r="AL38" t="str">
        <f t="shared" si="24"/>
        <v>No</v>
      </c>
      <c r="AM38" t="str">
        <f t="shared" si="25"/>
        <v>No</v>
      </c>
      <c r="AN38" t="str">
        <f t="shared" si="26"/>
        <v>Yes</v>
      </c>
      <c r="AP38" t="str">
        <f t="shared" si="27"/>
        <v>No</v>
      </c>
      <c r="AQ38" t="str">
        <f t="shared" si="28"/>
        <v>No</v>
      </c>
      <c r="AR38" t="str">
        <f t="shared" si="29"/>
        <v>No</v>
      </c>
      <c r="AS38" t="str">
        <f t="shared" si="30"/>
        <v>No</v>
      </c>
      <c r="AT38" t="str">
        <f t="shared" si="31"/>
        <v>No</v>
      </c>
      <c r="AU38" t="str">
        <f t="shared" si="32"/>
        <v>No</v>
      </c>
      <c r="AV38" t="str">
        <f t="shared" si="33"/>
        <v>No</v>
      </c>
      <c r="AW38" t="str">
        <f t="shared" si="34"/>
        <v>No</v>
      </c>
      <c r="AX38" t="str">
        <f t="shared" si="35"/>
        <v>No</v>
      </c>
      <c r="AY38" t="str">
        <f t="shared" si="36"/>
        <v>No</v>
      </c>
      <c r="AZ38" t="str">
        <f t="shared" si="37"/>
        <v>No</v>
      </c>
      <c r="BA38" t="str">
        <f t="shared" si="38"/>
        <v>No</v>
      </c>
      <c r="BB38" t="str">
        <f t="shared" si="39"/>
        <v>No</v>
      </c>
      <c r="BC38" t="str">
        <f t="shared" si="40"/>
        <v>No</v>
      </c>
      <c r="BD38" t="str">
        <f t="shared" si="41"/>
        <v>Yes</v>
      </c>
      <c r="BF38" t="str">
        <f t="shared" si="42"/>
        <v>No</v>
      </c>
      <c r="BG38" t="str">
        <f t="shared" si="43"/>
        <v>No</v>
      </c>
      <c r="BH38" t="str">
        <f t="shared" si="44"/>
        <v>No</v>
      </c>
      <c r="BI38" t="str">
        <f t="shared" si="45"/>
        <v>No</v>
      </c>
      <c r="BJ38" t="str">
        <f t="shared" si="46"/>
        <v>No</v>
      </c>
      <c r="BK38" t="str">
        <f t="shared" si="47"/>
        <v>No</v>
      </c>
      <c r="BL38" t="str">
        <f t="shared" si="48"/>
        <v>No</v>
      </c>
      <c r="BM38" t="str">
        <f t="shared" si="49"/>
        <v>No</v>
      </c>
      <c r="BN38" t="str">
        <f t="shared" si="50"/>
        <v>Yes</v>
      </c>
      <c r="BQ38" t="str">
        <f t="shared" si="51"/>
        <v>No</v>
      </c>
      <c r="BR38" t="str">
        <f t="shared" si="52"/>
        <v>No</v>
      </c>
      <c r="BS38" t="str">
        <f t="shared" si="53"/>
        <v>No</v>
      </c>
      <c r="BT38" t="str">
        <f t="shared" si="54"/>
        <v>No</v>
      </c>
      <c r="BU38" t="str">
        <f t="shared" si="55"/>
        <v>No</v>
      </c>
      <c r="BV38" t="str">
        <f t="shared" si="56"/>
        <v>No</v>
      </c>
      <c r="BW38" t="str">
        <f t="shared" si="57"/>
        <v>No</v>
      </c>
      <c r="BX38" t="str">
        <f t="shared" si="58"/>
        <v>No</v>
      </c>
      <c r="BY38" t="str">
        <f t="shared" si="59"/>
        <v>No</v>
      </c>
      <c r="BZ38" t="str">
        <f t="shared" si="60"/>
        <v>No</v>
      </c>
      <c r="CA38" t="str">
        <f t="shared" si="61"/>
        <v>No</v>
      </c>
      <c r="CB38" t="str">
        <f t="shared" si="62"/>
        <v>No</v>
      </c>
      <c r="CC38" t="str">
        <f t="shared" si="63"/>
        <v>No</v>
      </c>
      <c r="CD38" t="str">
        <f t="shared" si="64"/>
        <v>No</v>
      </c>
      <c r="CE38" t="str">
        <f t="shared" si="65"/>
        <v>No</v>
      </c>
      <c r="CF38" t="str">
        <f t="shared" si="66"/>
        <v>No</v>
      </c>
      <c r="CG38" t="str">
        <f t="shared" si="67"/>
        <v>No</v>
      </c>
      <c r="CH38" t="str">
        <f t="shared" si="68"/>
        <v>No</v>
      </c>
      <c r="CI38" t="str">
        <f t="shared" si="69"/>
        <v>No</v>
      </c>
      <c r="CJ38" t="str">
        <f t="shared" si="70"/>
        <v>No</v>
      </c>
      <c r="CK38" t="str">
        <f t="shared" si="71"/>
        <v>No</v>
      </c>
      <c r="CL38" t="str">
        <f t="shared" si="72"/>
        <v>No</v>
      </c>
      <c r="CM38" t="str">
        <f t="shared" si="73"/>
        <v>No</v>
      </c>
      <c r="CN38" t="str">
        <f t="shared" si="74"/>
        <v>No</v>
      </c>
      <c r="CO38" t="str">
        <f t="shared" si="75"/>
        <v>No</v>
      </c>
      <c r="CP38" t="str">
        <f t="shared" si="76"/>
        <v>No</v>
      </c>
      <c r="CQ38" t="str">
        <f t="shared" si="77"/>
        <v>No</v>
      </c>
      <c r="CR38" t="str">
        <f t="shared" si="78"/>
        <v>No</v>
      </c>
      <c r="CS38" t="str">
        <f t="shared" si="79"/>
        <v>No</v>
      </c>
      <c r="CT38" t="str">
        <f t="shared" si="80"/>
        <v>No</v>
      </c>
      <c r="CU38" t="str">
        <f t="shared" si="81"/>
        <v>No</v>
      </c>
      <c r="CV38" t="str">
        <f t="shared" si="82"/>
        <v>No</v>
      </c>
      <c r="CW38" t="str">
        <f t="shared" si="83"/>
        <v>No</v>
      </c>
      <c r="CX38" t="str">
        <f t="shared" si="84"/>
        <v>No</v>
      </c>
      <c r="CY38" t="str">
        <f t="shared" si="85"/>
        <v>No</v>
      </c>
      <c r="CZ38" t="str">
        <f t="shared" si="86"/>
        <v>No</v>
      </c>
      <c r="DA38" t="str">
        <f t="shared" si="87"/>
        <v>No</v>
      </c>
      <c r="DB38" t="str">
        <f t="shared" si="88"/>
        <v>No</v>
      </c>
      <c r="DC38" t="str">
        <f t="shared" si="89"/>
        <v>No</v>
      </c>
      <c r="DD38" t="str">
        <f t="shared" si="90"/>
        <v>No</v>
      </c>
      <c r="DE38" t="str">
        <f t="shared" si="91"/>
        <v>No</v>
      </c>
      <c r="DF38" t="str">
        <f t="shared" si="92"/>
        <v>No</v>
      </c>
      <c r="DG38" t="str">
        <f t="shared" si="93"/>
        <v>No</v>
      </c>
      <c r="DH38" t="str">
        <f t="shared" si="94"/>
        <v>No</v>
      </c>
      <c r="DI38" t="str">
        <f t="shared" si="95"/>
        <v>Yes</v>
      </c>
    </row>
    <row r="39" spans="1:113" x14ac:dyDescent="0.25">
      <c r="A39" s="109">
        <v>5</v>
      </c>
      <c r="B39" s="109">
        <v>7</v>
      </c>
      <c r="C39" s="109" t="s">
        <v>249</v>
      </c>
      <c r="D39" s="109" t="s">
        <v>80</v>
      </c>
      <c r="E39" s="109" t="s">
        <v>37</v>
      </c>
      <c r="F39" s="109">
        <v>124</v>
      </c>
      <c r="G39" s="109">
        <v>1173</v>
      </c>
      <c r="H39" s="109">
        <v>4</v>
      </c>
      <c r="I39" s="109">
        <v>37257</v>
      </c>
      <c r="J39" s="109" t="s">
        <v>250</v>
      </c>
      <c r="K39" s="109" t="s">
        <v>248</v>
      </c>
      <c r="L39" s="109">
        <v>6.8</v>
      </c>
      <c r="M39" s="109">
        <f t="shared" si="97"/>
        <v>4</v>
      </c>
      <c r="N39" s="109" t="s">
        <v>478</v>
      </c>
    </row>
    <row r="40" spans="1:113" x14ac:dyDescent="0.25">
      <c r="A40" s="109">
        <v>6</v>
      </c>
      <c r="B40" s="109">
        <v>5</v>
      </c>
      <c r="C40" s="109" t="s">
        <v>251</v>
      </c>
      <c r="D40" s="109" t="s">
        <v>51</v>
      </c>
      <c r="E40" s="109" t="s">
        <v>24</v>
      </c>
      <c r="F40" s="109">
        <v>128</v>
      </c>
      <c r="G40" s="109">
        <v>1111</v>
      </c>
      <c r="H40" s="109">
        <v>3</v>
      </c>
      <c r="I40" s="109">
        <v>37988</v>
      </c>
      <c r="J40" s="109" t="s">
        <v>252</v>
      </c>
      <c r="K40" s="109" t="s">
        <v>253</v>
      </c>
      <c r="L40" s="109">
        <v>2.7</v>
      </c>
      <c r="M40" s="109">
        <f t="shared" si="97"/>
        <v>1</v>
      </c>
      <c r="N40" s="109" t="s">
        <v>478</v>
      </c>
    </row>
    <row r="41" spans="1:113" x14ac:dyDescent="0.25">
      <c r="A41" s="109">
        <v>7</v>
      </c>
      <c r="B41" s="109">
        <v>6</v>
      </c>
      <c r="C41" s="109" t="s">
        <v>254</v>
      </c>
      <c r="D41" s="109" t="s">
        <v>33</v>
      </c>
      <c r="E41" s="109" t="s">
        <v>34</v>
      </c>
      <c r="F41" s="109">
        <v>128</v>
      </c>
      <c r="G41" s="109">
        <v>970</v>
      </c>
      <c r="H41" s="109">
        <v>10</v>
      </c>
      <c r="I41" s="109">
        <v>37989</v>
      </c>
      <c r="J41" s="109" t="s">
        <v>255</v>
      </c>
      <c r="K41" s="109" t="s">
        <v>256</v>
      </c>
      <c r="L41" s="109">
        <v>17</v>
      </c>
      <c r="M41" s="109">
        <f t="shared" si="97"/>
        <v>7</v>
      </c>
      <c r="N41" s="109" t="s">
        <v>478</v>
      </c>
    </row>
    <row r="42" spans="1:113" x14ac:dyDescent="0.25">
      <c r="A42" s="109">
        <v>8</v>
      </c>
      <c r="B42" s="109">
        <v>4</v>
      </c>
      <c r="C42" s="109" t="s">
        <v>257</v>
      </c>
      <c r="D42" s="109" t="s">
        <v>63</v>
      </c>
      <c r="E42" s="109" t="s">
        <v>52</v>
      </c>
      <c r="F42" s="109">
        <v>129</v>
      </c>
      <c r="G42" s="109">
        <v>1255</v>
      </c>
      <c r="H42" s="109">
        <v>6</v>
      </c>
      <c r="I42" s="109">
        <v>37260</v>
      </c>
      <c r="J42" s="109" t="s">
        <v>258</v>
      </c>
      <c r="K42" s="109" t="s">
        <v>197</v>
      </c>
      <c r="L42" s="109">
        <v>15</v>
      </c>
      <c r="M42" s="109">
        <f t="shared" si="97"/>
        <v>5</v>
      </c>
      <c r="N42" s="109" t="s">
        <v>478</v>
      </c>
    </row>
    <row r="43" spans="1:113" x14ac:dyDescent="0.25">
      <c r="A43" s="109">
        <v>9</v>
      </c>
      <c r="B43" s="109">
        <v>10</v>
      </c>
      <c r="C43" s="109" t="s">
        <v>259</v>
      </c>
      <c r="D43" s="109" t="s">
        <v>39</v>
      </c>
      <c r="E43" s="109" t="s">
        <v>66</v>
      </c>
      <c r="F43" s="109">
        <v>131</v>
      </c>
      <c r="G43" s="109">
        <v>1188</v>
      </c>
      <c r="H43" s="109">
        <v>8</v>
      </c>
      <c r="I43" s="109">
        <v>37261</v>
      </c>
      <c r="J43" s="109" t="s">
        <v>260</v>
      </c>
      <c r="K43" s="109" t="s">
        <v>200</v>
      </c>
      <c r="L43" s="109">
        <v>35</v>
      </c>
      <c r="M43" s="109">
        <f t="shared" si="97"/>
        <v>10</v>
      </c>
      <c r="N43" s="109" t="s">
        <v>478</v>
      </c>
    </row>
    <row r="44" spans="1:113" x14ac:dyDescent="0.25">
      <c r="A44" s="109">
        <v>10</v>
      </c>
      <c r="B44" s="109">
        <v>3</v>
      </c>
      <c r="C44" s="109" t="s">
        <v>261</v>
      </c>
      <c r="D44" s="109" t="s">
        <v>36</v>
      </c>
      <c r="E44" s="109" t="s">
        <v>92</v>
      </c>
      <c r="F44" s="109">
        <v>130</v>
      </c>
      <c r="G44" s="109">
        <v>1071</v>
      </c>
      <c r="H44" s="109">
        <v>5</v>
      </c>
      <c r="I44" s="109">
        <v>37261</v>
      </c>
      <c r="J44" s="109" t="s">
        <v>262</v>
      </c>
      <c r="K44" s="109" t="s">
        <v>200</v>
      </c>
      <c r="L44" s="109">
        <v>43</v>
      </c>
      <c r="M44" s="109">
        <f t="shared" si="97"/>
        <v>11</v>
      </c>
      <c r="N44" s="109" t="s">
        <v>478</v>
      </c>
    </row>
    <row r="45" spans="1:113" x14ac:dyDescent="0.25">
      <c r="A45" s="109">
        <v>11</v>
      </c>
      <c r="B45" s="109">
        <v>9</v>
      </c>
      <c r="C45" s="109" t="s">
        <v>263</v>
      </c>
      <c r="D45" s="109" t="s">
        <v>48</v>
      </c>
      <c r="E45" s="109" t="s">
        <v>74</v>
      </c>
      <c r="F45" s="109">
        <v>124</v>
      </c>
      <c r="G45" s="109">
        <v>1093</v>
      </c>
      <c r="H45" s="109">
        <v>1</v>
      </c>
      <c r="I45" s="109">
        <v>8</v>
      </c>
      <c r="J45" s="109" t="s">
        <v>264</v>
      </c>
      <c r="K45" s="109" t="s">
        <v>265</v>
      </c>
      <c r="L45" s="109">
        <v>15</v>
      </c>
      <c r="M45" s="109">
        <f t="shared" si="97"/>
        <v>5</v>
      </c>
      <c r="N45" s="109" t="s">
        <v>478</v>
      </c>
    </row>
    <row r="46" spans="1:113" x14ac:dyDescent="0.25">
      <c r="A46" s="109">
        <v>12</v>
      </c>
      <c r="B46" s="109">
        <v>11</v>
      </c>
      <c r="C46" s="109" t="s">
        <v>266</v>
      </c>
      <c r="D46" s="109" t="s">
        <v>68</v>
      </c>
      <c r="E46" s="109" t="s">
        <v>95</v>
      </c>
      <c r="F46" s="109">
        <v>119</v>
      </c>
      <c r="G46" s="109">
        <v>1104</v>
      </c>
      <c r="H46" s="109">
        <v>9</v>
      </c>
      <c r="I46" s="109">
        <v>10</v>
      </c>
      <c r="J46" s="109" t="s">
        <v>267</v>
      </c>
      <c r="K46" s="109" t="s">
        <v>268</v>
      </c>
      <c r="L46" s="109">
        <v>65</v>
      </c>
      <c r="M46" s="109">
        <f t="shared" si="97"/>
        <v>12</v>
      </c>
      <c r="N46" s="109" t="s">
        <v>478</v>
      </c>
    </row>
    <row r="47" spans="1:113" x14ac:dyDescent="0.25">
      <c r="A47" s="109" t="s">
        <v>96</v>
      </c>
      <c r="B47" s="109">
        <v>0</v>
      </c>
      <c r="C47" s="109" t="s">
        <v>269</v>
      </c>
      <c r="D47" s="109" t="s">
        <v>42</v>
      </c>
      <c r="E47" s="109" t="s">
        <v>49</v>
      </c>
      <c r="F47" s="109">
        <v>120</v>
      </c>
      <c r="G47" s="109" t="s">
        <v>21</v>
      </c>
      <c r="H47" s="109" t="s">
        <v>21</v>
      </c>
      <c r="I47" s="109" t="s">
        <v>21</v>
      </c>
      <c r="J47" s="109" t="s">
        <v>270</v>
      </c>
      <c r="K47" s="109" t="s">
        <v>21</v>
      </c>
      <c r="L47" s="109" t="s">
        <v>21</v>
      </c>
      <c r="M47" s="109" t="e">
        <f t="shared" si="97"/>
        <v>#VALUE!</v>
      </c>
      <c r="N47" s="109" t="s">
        <v>478</v>
      </c>
    </row>
    <row r="48" spans="1:113" x14ac:dyDescent="0.25">
      <c r="M48" s="109" t="e">
        <f t="shared" si="97"/>
        <v>#N/A</v>
      </c>
      <c r="N48" s="109" t="s">
        <v>478</v>
      </c>
    </row>
    <row r="49" spans="1:113" x14ac:dyDescent="0.25">
      <c r="M49" s="109" t="e">
        <f t="shared" si="97"/>
        <v>#N/A</v>
      </c>
      <c r="N49" s="109" t="s">
        <v>478</v>
      </c>
    </row>
    <row r="50" spans="1:113" x14ac:dyDescent="0.25">
      <c r="A50" s="109" t="s">
        <v>0</v>
      </c>
      <c r="B50" s="109" t="s">
        <v>1</v>
      </c>
      <c r="C50" s="109" t="s">
        <v>2</v>
      </c>
      <c r="D50" s="109" t="s">
        <v>3</v>
      </c>
      <c r="E50" s="109" t="s">
        <v>4</v>
      </c>
      <c r="F50" s="109" t="s">
        <v>167</v>
      </c>
      <c r="G50" s="109" t="s">
        <v>168</v>
      </c>
      <c r="H50" s="109" t="s">
        <v>7</v>
      </c>
      <c r="I50" s="109" t="s">
        <v>169</v>
      </c>
      <c r="J50" s="109" t="s">
        <v>170</v>
      </c>
      <c r="K50" s="109" t="s">
        <v>171</v>
      </c>
      <c r="L50" s="109" t="s">
        <v>172</v>
      </c>
      <c r="M50" s="109" t="s">
        <v>467</v>
      </c>
      <c r="N50" s="109" t="s">
        <v>479</v>
      </c>
    </row>
    <row r="51" spans="1:113" x14ac:dyDescent="0.25">
      <c r="A51" s="109" t="s">
        <v>99</v>
      </c>
      <c r="B51" s="109">
        <v>4</v>
      </c>
      <c r="C51" s="109" t="s">
        <v>271</v>
      </c>
      <c r="D51" s="109" t="s">
        <v>63</v>
      </c>
      <c r="E51" s="109" t="s">
        <v>57</v>
      </c>
      <c r="F51" s="109">
        <v>131</v>
      </c>
      <c r="G51" s="109">
        <v>1197</v>
      </c>
      <c r="H51" s="109">
        <v>6</v>
      </c>
      <c r="I51" s="109" t="s">
        <v>21</v>
      </c>
      <c r="J51" s="109" t="s">
        <v>272</v>
      </c>
      <c r="K51" s="109" t="s">
        <v>211</v>
      </c>
      <c r="L51" s="109">
        <v>10</v>
      </c>
      <c r="M51" s="109">
        <f>RANK(L51, $L$51:$L$64,1)</f>
        <v>4</v>
      </c>
      <c r="N51" s="109" t="s">
        <v>477</v>
      </c>
      <c r="O51" t="str">
        <f>IF(AND($L51&gt;=1, $L51&lt;=4), "1-4", "No")</f>
        <v>No</v>
      </c>
      <c r="P51" t="str">
        <f>IF(AND($L51&gt;=5, $L51&lt;=10), "5-10", "No")</f>
        <v>5-10</v>
      </c>
      <c r="Q51" t="str">
        <f>IF(AND($L51&gt;=11, $L51&lt;=20), "11-20", "No")</f>
        <v>No</v>
      </c>
      <c r="R51" t="str">
        <f>IF(AND($L51&gt;=20, $L51&lt;=30), "20-30", "No")</f>
        <v>No</v>
      </c>
      <c r="S51" t="str">
        <f>IF(AND($L51&gt;=30, $L51&lt;=999), "&gt;30", "No")</f>
        <v>No</v>
      </c>
      <c r="T51" t="str">
        <f>IF(AND($H51&gt;=1, $H51&lt;=6), "1-4", "No")</f>
        <v>1-4</v>
      </c>
      <c r="U51" t="str">
        <f>IF(AND($H51&gt;=5, $H51&lt;=10), "5-10", "No")</f>
        <v>5-10</v>
      </c>
      <c r="V51" t="str">
        <f>IF(AND($H51&gt;=11, $H51&lt;=12), "11-12", "No")</f>
        <v>No</v>
      </c>
      <c r="W51" t="str">
        <f>IF(AND($F51&gt;=0, $F51&lt;=117), "0-117", "No")</f>
        <v>No</v>
      </c>
      <c r="X51" t="str">
        <f>IF(AND($F51&gt;=118, $F51&lt;=127), "118-127", "No")</f>
        <v>No</v>
      </c>
      <c r="Y51" t="str">
        <f>IF(AND($F51&gt;=128, $F51&lt;=999), "&gt;128", "No")</f>
        <v>&gt;128</v>
      </c>
      <c r="Z51" t="str">
        <f t="shared" si="12"/>
        <v>No</v>
      </c>
      <c r="AA51" t="str">
        <f t="shared" si="13"/>
        <v>No</v>
      </c>
      <c r="AB51" t="str">
        <f t="shared" si="14"/>
        <v>No</v>
      </c>
      <c r="AC51" t="str">
        <f t="shared" si="15"/>
        <v>No</v>
      </c>
      <c r="AD51" t="str">
        <f t="shared" si="16"/>
        <v>Yes</v>
      </c>
      <c r="AE51" t="str">
        <f t="shared" si="17"/>
        <v>No</v>
      </c>
      <c r="AF51" t="str">
        <f t="shared" si="18"/>
        <v>No</v>
      </c>
      <c r="AG51" t="str">
        <f t="shared" si="19"/>
        <v>Yes</v>
      </c>
      <c r="AH51" t="str">
        <f t="shared" si="20"/>
        <v>No</v>
      </c>
      <c r="AI51" t="str">
        <f t="shared" si="21"/>
        <v>No</v>
      </c>
      <c r="AJ51" t="str">
        <f t="shared" si="22"/>
        <v>No</v>
      </c>
      <c r="AK51" t="str">
        <f t="shared" si="23"/>
        <v>No</v>
      </c>
      <c r="AL51" t="str">
        <f t="shared" si="24"/>
        <v>No</v>
      </c>
      <c r="AM51" t="str">
        <f t="shared" si="25"/>
        <v>No</v>
      </c>
      <c r="AN51" t="str">
        <f t="shared" si="26"/>
        <v>No</v>
      </c>
      <c r="AP51" t="str">
        <f t="shared" si="27"/>
        <v>No</v>
      </c>
      <c r="AQ51" t="str">
        <f t="shared" si="28"/>
        <v>No</v>
      </c>
      <c r="AR51" t="str">
        <f t="shared" si="29"/>
        <v>No</v>
      </c>
      <c r="AS51" t="str">
        <f t="shared" si="30"/>
        <v>No</v>
      </c>
      <c r="AT51" t="str">
        <f t="shared" si="31"/>
        <v>No</v>
      </c>
      <c r="AU51" t="str">
        <f t="shared" si="32"/>
        <v>Yes</v>
      </c>
      <c r="AV51" t="str">
        <f t="shared" si="33"/>
        <v>No</v>
      </c>
      <c r="AW51" t="str">
        <f t="shared" si="34"/>
        <v>No</v>
      </c>
      <c r="AX51" t="str">
        <f t="shared" si="35"/>
        <v>Yes</v>
      </c>
      <c r="AY51" t="str">
        <f t="shared" si="36"/>
        <v>No</v>
      </c>
      <c r="AZ51" t="str">
        <f t="shared" si="37"/>
        <v>No</v>
      </c>
      <c r="BA51" t="str">
        <f t="shared" si="38"/>
        <v>No</v>
      </c>
      <c r="BB51" t="str">
        <f t="shared" si="39"/>
        <v>No</v>
      </c>
      <c r="BC51" t="str">
        <f t="shared" si="40"/>
        <v>No</v>
      </c>
      <c r="BD51" t="str">
        <f t="shared" si="41"/>
        <v>No</v>
      </c>
      <c r="BF51" t="str">
        <f t="shared" si="42"/>
        <v>No</v>
      </c>
      <c r="BG51" t="str">
        <f t="shared" si="43"/>
        <v>No</v>
      </c>
      <c r="BH51" t="str">
        <f t="shared" si="44"/>
        <v>No</v>
      </c>
      <c r="BI51" t="str">
        <f t="shared" si="45"/>
        <v>No</v>
      </c>
      <c r="BJ51" t="str">
        <f t="shared" si="46"/>
        <v>No</v>
      </c>
      <c r="BK51" t="str">
        <f t="shared" si="47"/>
        <v>Yes</v>
      </c>
      <c r="BL51" t="str">
        <f t="shared" si="48"/>
        <v>No</v>
      </c>
      <c r="BM51" t="str">
        <f t="shared" si="49"/>
        <v>No</v>
      </c>
      <c r="BN51" t="str">
        <f t="shared" si="50"/>
        <v>No</v>
      </c>
      <c r="BQ51" t="str">
        <f t="shared" si="51"/>
        <v>No</v>
      </c>
      <c r="BR51" t="str">
        <f t="shared" si="52"/>
        <v>No</v>
      </c>
      <c r="BS51" t="str">
        <f t="shared" si="53"/>
        <v>No</v>
      </c>
      <c r="BT51" t="str">
        <f t="shared" si="54"/>
        <v>No</v>
      </c>
      <c r="BU51" t="str">
        <f t="shared" si="55"/>
        <v>No</v>
      </c>
      <c r="BV51" t="str">
        <f t="shared" si="56"/>
        <v>No</v>
      </c>
      <c r="BW51" t="str">
        <f t="shared" si="57"/>
        <v>No</v>
      </c>
      <c r="BX51" t="str">
        <f t="shared" si="58"/>
        <v>No</v>
      </c>
      <c r="BY51" t="str">
        <f t="shared" si="59"/>
        <v>No</v>
      </c>
      <c r="BZ51" t="str">
        <f t="shared" si="60"/>
        <v>No</v>
      </c>
      <c r="CA51" t="str">
        <f t="shared" si="61"/>
        <v>No</v>
      </c>
      <c r="CB51" t="str">
        <f t="shared" si="62"/>
        <v>No</v>
      </c>
      <c r="CC51" t="str">
        <f t="shared" si="63"/>
        <v>No</v>
      </c>
      <c r="CD51" t="str">
        <f t="shared" si="64"/>
        <v>No</v>
      </c>
      <c r="CE51" t="str">
        <f t="shared" si="65"/>
        <v>Yes</v>
      </c>
      <c r="CF51" t="str">
        <f t="shared" si="66"/>
        <v>No</v>
      </c>
      <c r="CG51" t="str">
        <f t="shared" si="67"/>
        <v>No</v>
      </c>
      <c r="CH51" t="str">
        <f t="shared" si="68"/>
        <v>No</v>
      </c>
      <c r="CI51" t="str">
        <f t="shared" si="69"/>
        <v>No</v>
      </c>
      <c r="CJ51" t="str">
        <f t="shared" si="70"/>
        <v>No</v>
      </c>
      <c r="CK51" t="str">
        <f t="shared" si="71"/>
        <v>No</v>
      </c>
      <c r="CL51" t="str">
        <f t="shared" si="72"/>
        <v>No</v>
      </c>
      <c r="CM51" t="str">
        <f t="shared" si="73"/>
        <v>No</v>
      </c>
      <c r="CN51" t="str">
        <f t="shared" si="74"/>
        <v>No</v>
      </c>
      <c r="CO51" t="str">
        <f t="shared" si="75"/>
        <v>No</v>
      </c>
      <c r="CP51" t="str">
        <f t="shared" si="76"/>
        <v>No</v>
      </c>
      <c r="CQ51" t="str">
        <f t="shared" si="77"/>
        <v>No</v>
      </c>
      <c r="CR51" t="str">
        <f t="shared" si="78"/>
        <v>No</v>
      </c>
      <c r="CS51" t="str">
        <f t="shared" si="79"/>
        <v>No</v>
      </c>
      <c r="CT51" t="str">
        <f t="shared" si="80"/>
        <v>No</v>
      </c>
      <c r="CU51" t="str">
        <f t="shared" si="81"/>
        <v>No</v>
      </c>
      <c r="CV51" t="str">
        <f t="shared" si="82"/>
        <v>No</v>
      </c>
      <c r="CW51" t="str">
        <f t="shared" si="83"/>
        <v>No</v>
      </c>
      <c r="CX51" t="str">
        <f t="shared" si="84"/>
        <v>No</v>
      </c>
      <c r="CY51" t="str">
        <f t="shared" si="85"/>
        <v>No</v>
      </c>
      <c r="CZ51" t="str">
        <f t="shared" si="86"/>
        <v>No</v>
      </c>
      <c r="DA51" t="str">
        <f t="shared" si="87"/>
        <v>No</v>
      </c>
      <c r="DB51" t="str">
        <f t="shared" si="88"/>
        <v>No</v>
      </c>
      <c r="DC51" t="str">
        <f t="shared" si="89"/>
        <v>No</v>
      </c>
      <c r="DD51" t="str">
        <f t="shared" si="90"/>
        <v>No</v>
      </c>
      <c r="DE51" t="str">
        <f t="shared" si="91"/>
        <v>No</v>
      </c>
      <c r="DF51" t="str">
        <f t="shared" si="92"/>
        <v>No</v>
      </c>
      <c r="DG51" t="str">
        <f t="shared" si="93"/>
        <v>No</v>
      </c>
      <c r="DH51" t="str">
        <f t="shared" si="94"/>
        <v>No</v>
      </c>
      <c r="DI51" t="str">
        <f t="shared" si="95"/>
        <v>No</v>
      </c>
    </row>
    <row r="52" spans="1:113" x14ac:dyDescent="0.25">
      <c r="A52" s="109">
        <v>2</v>
      </c>
      <c r="B52" s="109">
        <v>6</v>
      </c>
      <c r="C52" s="109" t="s">
        <v>273</v>
      </c>
      <c r="D52" s="109" t="s">
        <v>23</v>
      </c>
      <c r="E52" s="109" t="s">
        <v>34</v>
      </c>
      <c r="F52" s="109">
        <v>129</v>
      </c>
      <c r="G52" s="109">
        <v>1103</v>
      </c>
      <c r="H52" s="109">
        <v>2</v>
      </c>
      <c r="I52" s="109" t="s">
        <v>102</v>
      </c>
      <c r="J52" s="109" t="s">
        <v>274</v>
      </c>
      <c r="K52" s="109" t="s">
        <v>211</v>
      </c>
      <c r="L52" s="109">
        <v>1.7</v>
      </c>
      <c r="M52" s="109">
        <f t="shared" ref="M52:M64" si="98">RANK(L52, $L$51:$L$64,1)</f>
        <v>1</v>
      </c>
      <c r="N52" s="109" t="s">
        <v>477</v>
      </c>
      <c r="O52" t="str">
        <f>IF(AND($L52&gt;=1, $L52&lt;=4), "1-4", "No")</f>
        <v>1-4</v>
      </c>
      <c r="P52" t="str">
        <f>IF(AND($L52&gt;=5, $L52&lt;=10), "5-10", "No")</f>
        <v>No</v>
      </c>
      <c r="Q52" t="str">
        <f>IF(AND($L52&gt;=11, $L52&lt;=20), "11-20", "No")</f>
        <v>No</v>
      </c>
      <c r="R52" t="str">
        <f>IF(AND($L52&gt;=20, $L52&lt;=30), "20-30", "No")</f>
        <v>No</v>
      </c>
      <c r="S52" t="str">
        <f>IF(AND($L52&gt;=30, $L52&lt;=999), "&gt;30", "No")</f>
        <v>No</v>
      </c>
      <c r="T52" t="str">
        <f>IF(AND($H52&gt;=1, $H52&lt;=6), "1-4", "No")</f>
        <v>1-4</v>
      </c>
      <c r="U52" t="str">
        <f>IF(AND($H52&gt;=5, $H52&lt;=10), "5-10", "No")</f>
        <v>No</v>
      </c>
      <c r="V52" t="str">
        <f>IF(AND($H52&gt;=11, $H52&lt;=12), "11-12", "No")</f>
        <v>No</v>
      </c>
      <c r="W52" t="str">
        <f>IF(AND($F52&gt;=0, $F52&lt;=117), "0-117", "No")</f>
        <v>No</v>
      </c>
      <c r="X52" t="str">
        <f>IF(AND($F52&gt;=118, $F52&lt;=127), "118-127", "No")</f>
        <v>No</v>
      </c>
      <c r="Y52" t="str">
        <f>IF(AND($F52&gt;=128, $F52&lt;=999), "&gt;128", "No")</f>
        <v>&gt;128</v>
      </c>
      <c r="Z52" t="str">
        <f t="shared" si="12"/>
        <v>Yes</v>
      </c>
      <c r="AA52" t="str">
        <f t="shared" si="13"/>
        <v>No</v>
      </c>
      <c r="AB52" t="str">
        <f t="shared" si="14"/>
        <v>No</v>
      </c>
      <c r="AC52" t="str">
        <f t="shared" si="15"/>
        <v>No</v>
      </c>
      <c r="AD52" t="str">
        <f t="shared" si="16"/>
        <v>No</v>
      </c>
      <c r="AE52" t="str">
        <f t="shared" si="17"/>
        <v>No</v>
      </c>
      <c r="AF52" t="str">
        <f t="shared" si="18"/>
        <v>No</v>
      </c>
      <c r="AG52" t="str">
        <f t="shared" si="19"/>
        <v>No</v>
      </c>
      <c r="AH52" t="str">
        <f t="shared" si="20"/>
        <v>No</v>
      </c>
      <c r="AI52" t="str">
        <f t="shared" si="21"/>
        <v>No</v>
      </c>
      <c r="AJ52" t="str">
        <f t="shared" si="22"/>
        <v>No</v>
      </c>
      <c r="AK52" t="str">
        <f t="shared" si="23"/>
        <v>No</v>
      </c>
      <c r="AL52" t="str">
        <f t="shared" si="24"/>
        <v>No</v>
      </c>
      <c r="AM52" t="str">
        <f t="shared" si="25"/>
        <v>No</v>
      </c>
      <c r="AN52" t="str">
        <f t="shared" si="26"/>
        <v>No</v>
      </c>
      <c r="AP52" t="str">
        <f t="shared" si="27"/>
        <v>No</v>
      </c>
      <c r="AQ52" t="str">
        <f t="shared" si="28"/>
        <v>No</v>
      </c>
      <c r="AR52" t="str">
        <f t="shared" si="29"/>
        <v>Yes</v>
      </c>
      <c r="AS52" t="str">
        <f t="shared" si="30"/>
        <v>No</v>
      </c>
      <c r="AT52" t="str">
        <f t="shared" si="31"/>
        <v>No</v>
      </c>
      <c r="AU52" t="str">
        <f t="shared" si="32"/>
        <v>No</v>
      </c>
      <c r="AV52" t="str">
        <f t="shared" si="33"/>
        <v>No</v>
      </c>
      <c r="AW52" t="str">
        <f t="shared" si="34"/>
        <v>No</v>
      </c>
      <c r="AX52" t="str">
        <f t="shared" si="35"/>
        <v>No</v>
      </c>
      <c r="AY52" t="str">
        <f t="shared" si="36"/>
        <v>No</v>
      </c>
      <c r="AZ52" t="str">
        <f t="shared" si="37"/>
        <v>No</v>
      </c>
      <c r="BA52" t="str">
        <f t="shared" si="38"/>
        <v>No</v>
      </c>
      <c r="BB52" t="str">
        <f t="shared" si="39"/>
        <v>No</v>
      </c>
      <c r="BC52" t="str">
        <f t="shared" si="40"/>
        <v>No</v>
      </c>
      <c r="BD52" t="str">
        <f t="shared" si="41"/>
        <v>No</v>
      </c>
      <c r="BF52" t="str">
        <f t="shared" si="42"/>
        <v>No</v>
      </c>
      <c r="BG52" t="str">
        <f t="shared" si="43"/>
        <v>No</v>
      </c>
      <c r="BH52" t="str">
        <f t="shared" si="44"/>
        <v>Yes</v>
      </c>
      <c r="BI52" t="str">
        <f t="shared" si="45"/>
        <v>No</v>
      </c>
      <c r="BJ52" t="str">
        <f t="shared" si="46"/>
        <v>No</v>
      </c>
      <c r="BK52" t="str">
        <f t="shared" si="47"/>
        <v>No</v>
      </c>
      <c r="BL52" t="str">
        <f t="shared" si="48"/>
        <v>No</v>
      </c>
      <c r="BM52" t="str">
        <f t="shared" si="49"/>
        <v>No</v>
      </c>
      <c r="BN52" t="str">
        <f t="shared" si="50"/>
        <v>No</v>
      </c>
      <c r="BQ52" t="str">
        <f t="shared" si="51"/>
        <v>No</v>
      </c>
      <c r="BR52" t="str">
        <f t="shared" si="52"/>
        <v>No</v>
      </c>
      <c r="BS52" t="str">
        <f t="shared" si="53"/>
        <v>Yes</v>
      </c>
      <c r="BT52" t="str">
        <f t="shared" si="54"/>
        <v>No</v>
      </c>
      <c r="BU52" t="str">
        <f t="shared" si="55"/>
        <v>No</v>
      </c>
      <c r="BV52" t="str">
        <f t="shared" si="56"/>
        <v>No</v>
      </c>
      <c r="BW52" t="str">
        <f t="shared" si="57"/>
        <v>No</v>
      </c>
      <c r="BX52" t="str">
        <f t="shared" si="58"/>
        <v>No</v>
      </c>
      <c r="BY52" t="str">
        <f t="shared" si="59"/>
        <v>No</v>
      </c>
      <c r="BZ52" t="str">
        <f t="shared" si="60"/>
        <v>No</v>
      </c>
      <c r="CA52" t="str">
        <f t="shared" si="61"/>
        <v>No</v>
      </c>
      <c r="CB52" t="str">
        <f t="shared" si="62"/>
        <v>No</v>
      </c>
      <c r="CC52" t="str">
        <f t="shared" si="63"/>
        <v>No</v>
      </c>
      <c r="CD52" t="str">
        <f t="shared" si="64"/>
        <v>No</v>
      </c>
      <c r="CE52" t="str">
        <f t="shared" si="65"/>
        <v>No</v>
      </c>
      <c r="CF52" t="str">
        <f t="shared" si="66"/>
        <v>No</v>
      </c>
      <c r="CG52" t="str">
        <f t="shared" si="67"/>
        <v>No</v>
      </c>
      <c r="CH52" t="str">
        <f t="shared" si="68"/>
        <v>No</v>
      </c>
      <c r="CI52" t="str">
        <f t="shared" si="69"/>
        <v>No</v>
      </c>
      <c r="CJ52" t="str">
        <f t="shared" si="70"/>
        <v>No</v>
      </c>
      <c r="CK52" t="str">
        <f t="shared" si="71"/>
        <v>No</v>
      </c>
      <c r="CL52" t="str">
        <f t="shared" si="72"/>
        <v>No</v>
      </c>
      <c r="CM52" t="str">
        <f t="shared" si="73"/>
        <v>No</v>
      </c>
      <c r="CN52" t="str">
        <f t="shared" si="74"/>
        <v>No</v>
      </c>
      <c r="CO52" t="str">
        <f t="shared" si="75"/>
        <v>No</v>
      </c>
      <c r="CP52" t="str">
        <f t="shared" si="76"/>
        <v>No</v>
      </c>
      <c r="CQ52" t="str">
        <f t="shared" si="77"/>
        <v>No</v>
      </c>
      <c r="CR52" t="str">
        <f t="shared" si="78"/>
        <v>No</v>
      </c>
      <c r="CS52" t="str">
        <f t="shared" si="79"/>
        <v>No</v>
      </c>
      <c r="CT52" t="str">
        <f t="shared" si="80"/>
        <v>No</v>
      </c>
      <c r="CU52" t="str">
        <f t="shared" si="81"/>
        <v>No</v>
      </c>
      <c r="CV52" t="str">
        <f t="shared" si="82"/>
        <v>No</v>
      </c>
      <c r="CW52" t="str">
        <f t="shared" si="83"/>
        <v>No</v>
      </c>
      <c r="CX52" t="str">
        <f t="shared" si="84"/>
        <v>No</v>
      </c>
      <c r="CY52" t="str">
        <f t="shared" si="85"/>
        <v>No</v>
      </c>
      <c r="CZ52" t="str">
        <f t="shared" si="86"/>
        <v>No</v>
      </c>
      <c r="DA52" t="str">
        <f t="shared" si="87"/>
        <v>No</v>
      </c>
      <c r="DB52" t="str">
        <f t="shared" si="88"/>
        <v>No</v>
      </c>
      <c r="DC52" t="str">
        <f t="shared" si="89"/>
        <v>No</v>
      </c>
      <c r="DD52" t="str">
        <f t="shared" si="90"/>
        <v>No</v>
      </c>
      <c r="DE52" t="str">
        <f t="shared" si="91"/>
        <v>No</v>
      </c>
      <c r="DF52" t="str">
        <f t="shared" si="92"/>
        <v>No</v>
      </c>
      <c r="DG52" t="str">
        <f t="shared" si="93"/>
        <v>No</v>
      </c>
      <c r="DH52" t="str">
        <f t="shared" si="94"/>
        <v>No</v>
      </c>
      <c r="DI52" t="str">
        <f t="shared" si="95"/>
        <v>No</v>
      </c>
    </row>
    <row r="53" spans="1:113" x14ac:dyDescent="0.25">
      <c r="A53" s="109">
        <v>3</v>
      </c>
      <c r="B53" s="109">
        <v>1</v>
      </c>
      <c r="C53" s="109" t="s">
        <v>275</v>
      </c>
      <c r="D53" s="109" t="s">
        <v>19</v>
      </c>
      <c r="E53" s="109" t="s">
        <v>28</v>
      </c>
      <c r="F53" s="109">
        <v>133</v>
      </c>
      <c r="G53" s="109">
        <v>1117</v>
      </c>
      <c r="H53" s="109">
        <v>7</v>
      </c>
      <c r="I53" s="109" t="s">
        <v>25</v>
      </c>
      <c r="J53" s="109" t="s">
        <v>276</v>
      </c>
      <c r="K53" s="109" t="s">
        <v>214</v>
      </c>
      <c r="L53" s="109">
        <v>5.5</v>
      </c>
      <c r="M53" s="109">
        <f t="shared" si="98"/>
        <v>2</v>
      </c>
      <c r="N53" s="109" t="s">
        <v>477</v>
      </c>
      <c r="O53" t="str">
        <f>IF(AND($L53&gt;=1, $L53&lt;=4), "1-4", "No")</f>
        <v>No</v>
      </c>
      <c r="P53" t="str">
        <f>IF(AND($L53&gt;=5, $L53&lt;=10), "5-10", "No")</f>
        <v>5-10</v>
      </c>
      <c r="Q53" t="str">
        <f>IF(AND($L53&gt;=11, $L53&lt;=20), "11-20", "No")</f>
        <v>No</v>
      </c>
      <c r="R53" t="str">
        <f>IF(AND($L53&gt;=20, $L53&lt;=30), "20-30", "No")</f>
        <v>No</v>
      </c>
      <c r="S53" t="str">
        <f>IF(AND($L53&gt;=30, $L53&lt;=999), "&gt;30", "No")</f>
        <v>No</v>
      </c>
      <c r="T53" t="str">
        <f>IF(AND($H53&gt;=1, $H53&lt;=6), "1-4", "No")</f>
        <v>No</v>
      </c>
      <c r="U53" t="str">
        <f>IF(AND($H53&gt;=5, $H53&lt;=10), "5-10", "No")</f>
        <v>5-10</v>
      </c>
      <c r="V53" t="str">
        <f>IF(AND($H53&gt;=11, $H53&lt;=12), "11-12", "No")</f>
        <v>No</v>
      </c>
      <c r="W53" t="str">
        <f>IF(AND($F53&gt;=0, $F53&lt;=117), "0-117", "No")</f>
        <v>No</v>
      </c>
      <c r="X53" t="str">
        <f>IF(AND($F53&gt;=118, $F53&lt;=127), "118-127", "No")</f>
        <v>No</v>
      </c>
      <c r="Y53" t="str">
        <f>IF(AND($F53&gt;=128, $F53&lt;=999), "&gt;128", "No")</f>
        <v>&gt;128</v>
      </c>
      <c r="Z53" t="str">
        <f t="shared" si="12"/>
        <v>No</v>
      </c>
      <c r="AA53" t="str">
        <f t="shared" si="13"/>
        <v>No</v>
      </c>
      <c r="AB53" t="str">
        <f t="shared" si="14"/>
        <v>No</v>
      </c>
      <c r="AC53" t="str">
        <f t="shared" si="15"/>
        <v>No</v>
      </c>
      <c r="AD53" t="str">
        <f t="shared" si="16"/>
        <v>Yes</v>
      </c>
      <c r="AE53" t="str">
        <f t="shared" si="17"/>
        <v>No</v>
      </c>
      <c r="AF53" t="str">
        <f t="shared" si="18"/>
        <v>No</v>
      </c>
      <c r="AG53" t="str">
        <f t="shared" si="19"/>
        <v>No</v>
      </c>
      <c r="AH53" t="str">
        <f t="shared" si="20"/>
        <v>No</v>
      </c>
      <c r="AI53" t="str">
        <f t="shared" si="21"/>
        <v>No</v>
      </c>
      <c r="AJ53" t="str">
        <f t="shared" si="22"/>
        <v>No</v>
      </c>
      <c r="AK53" t="str">
        <f t="shared" si="23"/>
        <v>No</v>
      </c>
      <c r="AL53" t="str">
        <f t="shared" si="24"/>
        <v>No</v>
      </c>
      <c r="AM53" t="str">
        <f t="shared" si="25"/>
        <v>No</v>
      </c>
      <c r="AN53" t="str">
        <f t="shared" si="26"/>
        <v>No</v>
      </c>
      <c r="AP53" t="str">
        <f t="shared" si="27"/>
        <v>No</v>
      </c>
      <c r="AQ53" t="str">
        <f t="shared" si="28"/>
        <v>No</v>
      </c>
      <c r="AR53" t="str">
        <f t="shared" si="29"/>
        <v>No</v>
      </c>
      <c r="AS53" t="str">
        <f t="shared" si="30"/>
        <v>No</v>
      </c>
      <c r="AT53" t="str">
        <f t="shared" si="31"/>
        <v>No</v>
      </c>
      <c r="AU53" t="str">
        <f t="shared" si="32"/>
        <v>Yes</v>
      </c>
      <c r="AV53" t="str">
        <f t="shared" si="33"/>
        <v>No</v>
      </c>
      <c r="AW53" t="str">
        <f t="shared" si="34"/>
        <v>No</v>
      </c>
      <c r="AX53" t="str">
        <f t="shared" si="35"/>
        <v>No</v>
      </c>
      <c r="AY53" t="str">
        <f t="shared" si="36"/>
        <v>No</v>
      </c>
      <c r="AZ53" t="str">
        <f t="shared" si="37"/>
        <v>No</v>
      </c>
      <c r="BA53" t="str">
        <f t="shared" si="38"/>
        <v>No</v>
      </c>
      <c r="BB53" t="str">
        <f t="shared" si="39"/>
        <v>No</v>
      </c>
      <c r="BC53" t="str">
        <f t="shared" si="40"/>
        <v>No</v>
      </c>
      <c r="BD53" t="str">
        <f t="shared" si="41"/>
        <v>No</v>
      </c>
      <c r="BF53" t="str">
        <f t="shared" si="42"/>
        <v>No</v>
      </c>
      <c r="BG53" t="str">
        <f t="shared" si="43"/>
        <v>No</v>
      </c>
      <c r="BH53" t="str">
        <f t="shared" si="44"/>
        <v>No</v>
      </c>
      <c r="BI53" t="str">
        <f t="shared" si="45"/>
        <v>No</v>
      </c>
      <c r="BJ53" t="str">
        <f t="shared" si="46"/>
        <v>No</v>
      </c>
      <c r="BK53" t="str">
        <f t="shared" si="47"/>
        <v>Yes</v>
      </c>
      <c r="BL53" t="str">
        <f t="shared" si="48"/>
        <v>No</v>
      </c>
      <c r="BM53" t="str">
        <f t="shared" si="49"/>
        <v>No</v>
      </c>
      <c r="BN53" t="str">
        <f t="shared" si="50"/>
        <v>No</v>
      </c>
      <c r="BQ53" t="str">
        <f t="shared" si="51"/>
        <v>No</v>
      </c>
      <c r="BR53" t="str">
        <f t="shared" si="52"/>
        <v>No</v>
      </c>
      <c r="BS53" t="str">
        <f t="shared" si="53"/>
        <v>No</v>
      </c>
      <c r="BT53" t="str">
        <f t="shared" si="54"/>
        <v>No</v>
      </c>
      <c r="BU53" t="str">
        <f t="shared" si="55"/>
        <v>No</v>
      </c>
      <c r="BV53" t="str">
        <f t="shared" si="56"/>
        <v>No</v>
      </c>
      <c r="BW53" t="str">
        <f t="shared" si="57"/>
        <v>No</v>
      </c>
      <c r="BX53" t="str">
        <f t="shared" si="58"/>
        <v>No</v>
      </c>
      <c r="BY53" t="str">
        <f t="shared" si="59"/>
        <v>No</v>
      </c>
      <c r="BZ53" t="str">
        <f t="shared" si="60"/>
        <v>No</v>
      </c>
      <c r="CA53" t="str">
        <f t="shared" si="61"/>
        <v>No</v>
      </c>
      <c r="CB53" t="str">
        <f t="shared" si="62"/>
        <v>No</v>
      </c>
      <c r="CC53" t="str">
        <f t="shared" si="63"/>
        <v>No</v>
      </c>
      <c r="CD53" t="str">
        <f t="shared" si="64"/>
        <v>No</v>
      </c>
      <c r="CE53" t="str">
        <f t="shared" si="65"/>
        <v>Yes</v>
      </c>
      <c r="CF53" t="str">
        <f t="shared" si="66"/>
        <v>No</v>
      </c>
      <c r="CG53" t="str">
        <f t="shared" si="67"/>
        <v>No</v>
      </c>
      <c r="CH53" t="str">
        <f t="shared" si="68"/>
        <v>No</v>
      </c>
      <c r="CI53" t="str">
        <f t="shared" si="69"/>
        <v>No</v>
      </c>
      <c r="CJ53" t="str">
        <f t="shared" si="70"/>
        <v>No</v>
      </c>
      <c r="CK53" t="str">
        <f t="shared" si="71"/>
        <v>No</v>
      </c>
      <c r="CL53" t="str">
        <f t="shared" si="72"/>
        <v>No</v>
      </c>
      <c r="CM53" t="str">
        <f t="shared" si="73"/>
        <v>No</v>
      </c>
      <c r="CN53" t="str">
        <f t="shared" si="74"/>
        <v>No</v>
      </c>
      <c r="CO53" t="str">
        <f t="shared" si="75"/>
        <v>No</v>
      </c>
      <c r="CP53" t="str">
        <f t="shared" si="76"/>
        <v>No</v>
      </c>
      <c r="CQ53" t="str">
        <f t="shared" si="77"/>
        <v>No</v>
      </c>
      <c r="CR53" t="str">
        <f t="shared" si="78"/>
        <v>No</v>
      </c>
      <c r="CS53" t="str">
        <f t="shared" si="79"/>
        <v>No</v>
      </c>
      <c r="CT53" t="str">
        <f t="shared" si="80"/>
        <v>No</v>
      </c>
      <c r="CU53" t="str">
        <f t="shared" si="81"/>
        <v>No</v>
      </c>
      <c r="CV53" t="str">
        <f t="shared" si="82"/>
        <v>No</v>
      </c>
      <c r="CW53" t="str">
        <f t="shared" si="83"/>
        <v>No</v>
      </c>
      <c r="CX53" t="str">
        <f t="shared" si="84"/>
        <v>No</v>
      </c>
      <c r="CY53" t="str">
        <f t="shared" si="85"/>
        <v>No</v>
      </c>
      <c r="CZ53" t="str">
        <f t="shared" si="86"/>
        <v>No</v>
      </c>
      <c r="DA53" t="str">
        <f t="shared" si="87"/>
        <v>No</v>
      </c>
      <c r="DB53" t="str">
        <f t="shared" si="88"/>
        <v>No</v>
      </c>
      <c r="DC53" t="str">
        <f t="shared" si="89"/>
        <v>No</v>
      </c>
      <c r="DD53" t="str">
        <f t="shared" si="90"/>
        <v>No</v>
      </c>
      <c r="DE53" t="str">
        <f t="shared" si="91"/>
        <v>No</v>
      </c>
      <c r="DF53" t="str">
        <f t="shared" si="92"/>
        <v>No</v>
      </c>
      <c r="DG53" t="str">
        <f t="shared" si="93"/>
        <v>No</v>
      </c>
      <c r="DH53" t="str">
        <f t="shared" si="94"/>
        <v>No</v>
      </c>
      <c r="DI53" t="str">
        <f t="shared" si="95"/>
        <v>No</v>
      </c>
    </row>
    <row r="54" spans="1:113" x14ac:dyDescent="0.25">
      <c r="A54" s="109">
        <v>4</v>
      </c>
      <c r="B54" s="109">
        <v>9</v>
      </c>
      <c r="C54" s="109" t="s">
        <v>277</v>
      </c>
      <c r="D54" s="109" t="s">
        <v>51</v>
      </c>
      <c r="E54" s="109" t="s">
        <v>49</v>
      </c>
      <c r="F54" s="109">
        <v>126</v>
      </c>
      <c r="G54" s="109">
        <v>1088</v>
      </c>
      <c r="H54" s="109">
        <v>4</v>
      </c>
      <c r="I54" s="109">
        <v>46115</v>
      </c>
      <c r="J54" s="109" t="s">
        <v>278</v>
      </c>
      <c r="K54" s="109" t="s">
        <v>219</v>
      </c>
      <c r="L54" s="109">
        <v>6.1</v>
      </c>
      <c r="M54" s="109">
        <f t="shared" si="98"/>
        <v>3</v>
      </c>
      <c r="N54" s="109" t="s">
        <v>477</v>
      </c>
      <c r="O54" t="str">
        <f>IF(AND($L54&gt;=1, $L54&lt;=4), "1-4", "No")</f>
        <v>No</v>
      </c>
      <c r="P54" t="str">
        <f>IF(AND($L54&gt;=5, $L54&lt;=10), "5-10", "No")</f>
        <v>5-10</v>
      </c>
      <c r="Q54" t="str">
        <f>IF(AND($L54&gt;=11, $L54&lt;=20), "11-20", "No")</f>
        <v>No</v>
      </c>
      <c r="R54" t="str">
        <f>IF(AND($L54&gt;=20, $L54&lt;=30), "20-30", "No")</f>
        <v>No</v>
      </c>
      <c r="S54" t="str">
        <f>IF(AND($L54&gt;=30, $L54&lt;=999), "&gt;30", "No")</f>
        <v>No</v>
      </c>
      <c r="T54" t="str">
        <f>IF(AND($H54&gt;=1, $H54&lt;=6), "1-4", "No")</f>
        <v>1-4</v>
      </c>
      <c r="U54" t="str">
        <f>IF(AND($H54&gt;=5, $H54&lt;=10), "5-10", "No")</f>
        <v>No</v>
      </c>
      <c r="V54" t="str">
        <f>IF(AND($H54&gt;=11, $H54&lt;=12), "11-12", "No")</f>
        <v>No</v>
      </c>
      <c r="W54" t="str">
        <f>IF(AND($F54&gt;=0, $F54&lt;=117), "0-117", "No")</f>
        <v>No</v>
      </c>
      <c r="X54" t="str">
        <f>IF(AND($F54&gt;=118, $F54&lt;=127), "118-127", "No")</f>
        <v>118-127</v>
      </c>
      <c r="Y54" t="str">
        <f>IF(AND($F54&gt;=128, $F54&lt;=999), "&gt;128", "No")</f>
        <v>No</v>
      </c>
      <c r="Z54" t="str">
        <f t="shared" si="12"/>
        <v>No</v>
      </c>
      <c r="AA54" t="str">
        <f t="shared" si="13"/>
        <v>No</v>
      </c>
      <c r="AB54" t="str">
        <f t="shared" si="14"/>
        <v>No</v>
      </c>
      <c r="AC54" t="str">
        <f t="shared" si="15"/>
        <v>Yes</v>
      </c>
      <c r="AD54" t="str">
        <f t="shared" si="16"/>
        <v>No</v>
      </c>
      <c r="AE54" t="str">
        <f t="shared" si="17"/>
        <v>No</v>
      </c>
      <c r="AF54" t="str">
        <f t="shared" si="18"/>
        <v>No</v>
      </c>
      <c r="AG54" t="str">
        <f t="shared" si="19"/>
        <v>No</v>
      </c>
      <c r="AH54" t="str">
        <f t="shared" si="20"/>
        <v>No</v>
      </c>
      <c r="AI54" t="str">
        <f t="shared" si="21"/>
        <v>No</v>
      </c>
      <c r="AJ54" t="str">
        <f t="shared" si="22"/>
        <v>No</v>
      </c>
      <c r="AK54" t="str">
        <f t="shared" si="23"/>
        <v>No</v>
      </c>
      <c r="AL54" t="str">
        <f t="shared" si="24"/>
        <v>No</v>
      </c>
      <c r="AM54" t="str">
        <f t="shared" si="25"/>
        <v>No</v>
      </c>
      <c r="AN54" t="str">
        <f t="shared" si="26"/>
        <v>No</v>
      </c>
      <c r="AP54" t="str">
        <f t="shared" si="27"/>
        <v>No</v>
      </c>
      <c r="AQ54" t="str">
        <f t="shared" si="28"/>
        <v>No</v>
      </c>
      <c r="AR54" t="str">
        <f t="shared" si="29"/>
        <v>No</v>
      </c>
      <c r="AS54" t="str">
        <f t="shared" si="30"/>
        <v>No</v>
      </c>
      <c r="AT54" t="str">
        <f t="shared" si="31"/>
        <v>Yes</v>
      </c>
      <c r="AU54" t="str">
        <f t="shared" si="32"/>
        <v>No</v>
      </c>
      <c r="AV54" t="str">
        <f t="shared" si="33"/>
        <v>No</v>
      </c>
      <c r="AW54" t="str">
        <f t="shared" si="34"/>
        <v>No</v>
      </c>
      <c r="AX54" t="str">
        <f t="shared" si="35"/>
        <v>No</v>
      </c>
      <c r="AY54" t="str">
        <f t="shared" si="36"/>
        <v>No</v>
      </c>
      <c r="AZ54" t="str">
        <f t="shared" si="37"/>
        <v>No</v>
      </c>
      <c r="BA54" t="str">
        <f t="shared" si="38"/>
        <v>No</v>
      </c>
      <c r="BB54" t="str">
        <f t="shared" si="39"/>
        <v>No</v>
      </c>
      <c r="BC54" t="str">
        <f t="shared" si="40"/>
        <v>No</v>
      </c>
      <c r="BD54" t="str">
        <f t="shared" si="41"/>
        <v>No</v>
      </c>
      <c r="BF54" t="str">
        <f t="shared" si="42"/>
        <v>No</v>
      </c>
      <c r="BG54" t="str">
        <f t="shared" si="43"/>
        <v>Yes</v>
      </c>
      <c r="BH54" t="str">
        <f t="shared" si="44"/>
        <v>No</v>
      </c>
      <c r="BI54" t="str">
        <f t="shared" si="45"/>
        <v>No</v>
      </c>
      <c r="BJ54" t="str">
        <f t="shared" si="46"/>
        <v>No</v>
      </c>
      <c r="BK54" t="str">
        <f t="shared" si="47"/>
        <v>No</v>
      </c>
      <c r="BL54" t="str">
        <f t="shared" si="48"/>
        <v>No</v>
      </c>
      <c r="BM54" t="str">
        <f t="shared" si="49"/>
        <v>No</v>
      </c>
      <c r="BN54" t="str">
        <f t="shared" si="50"/>
        <v>No</v>
      </c>
      <c r="BQ54" t="str">
        <f t="shared" si="51"/>
        <v>No</v>
      </c>
      <c r="BR54" t="str">
        <f t="shared" si="52"/>
        <v>No</v>
      </c>
      <c r="BS54" t="str">
        <f t="shared" si="53"/>
        <v>No</v>
      </c>
      <c r="BT54" t="str">
        <f t="shared" si="54"/>
        <v>No</v>
      </c>
      <c r="BU54" t="str">
        <f t="shared" si="55"/>
        <v>No</v>
      </c>
      <c r="BV54" t="str">
        <f t="shared" si="56"/>
        <v>No</v>
      </c>
      <c r="BW54" t="str">
        <f t="shared" si="57"/>
        <v>No</v>
      </c>
      <c r="BX54" t="str">
        <f t="shared" si="58"/>
        <v>No</v>
      </c>
      <c r="BY54" t="str">
        <f t="shared" si="59"/>
        <v>No</v>
      </c>
      <c r="BZ54" t="str">
        <f t="shared" si="60"/>
        <v>No</v>
      </c>
      <c r="CA54" t="str">
        <f t="shared" si="61"/>
        <v>Yes</v>
      </c>
      <c r="CB54" t="str">
        <f t="shared" si="62"/>
        <v>No</v>
      </c>
      <c r="CC54" t="str">
        <f t="shared" si="63"/>
        <v>No</v>
      </c>
      <c r="CD54" t="str">
        <f t="shared" si="64"/>
        <v>No</v>
      </c>
      <c r="CE54" t="str">
        <f t="shared" si="65"/>
        <v>No</v>
      </c>
      <c r="CF54" t="str">
        <f t="shared" si="66"/>
        <v>No</v>
      </c>
      <c r="CG54" t="str">
        <f t="shared" si="67"/>
        <v>No</v>
      </c>
      <c r="CH54" t="str">
        <f t="shared" si="68"/>
        <v>No</v>
      </c>
      <c r="CI54" t="str">
        <f t="shared" si="69"/>
        <v>No</v>
      </c>
      <c r="CJ54" t="str">
        <f t="shared" si="70"/>
        <v>No</v>
      </c>
      <c r="CK54" t="str">
        <f t="shared" si="71"/>
        <v>No</v>
      </c>
      <c r="CL54" t="str">
        <f t="shared" si="72"/>
        <v>No</v>
      </c>
      <c r="CM54" t="str">
        <f t="shared" si="73"/>
        <v>No</v>
      </c>
      <c r="CN54" t="str">
        <f t="shared" si="74"/>
        <v>No</v>
      </c>
      <c r="CO54" t="str">
        <f t="shared" si="75"/>
        <v>No</v>
      </c>
      <c r="CP54" t="str">
        <f t="shared" si="76"/>
        <v>No</v>
      </c>
      <c r="CQ54" t="str">
        <f t="shared" si="77"/>
        <v>No</v>
      </c>
      <c r="CR54" t="str">
        <f t="shared" si="78"/>
        <v>No</v>
      </c>
      <c r="CS54" t="str">
        <f t="shared" si="79"/>
        <v>No</v>
      </c>
      <c r="CT54" t="str">
        <f t="shared" si="80"/>
        <v>No</v>
      </c>
      <c r="CU54" t="str">
        <f t="shared" si="81"/>
        <v>No</v>
      </c>
      <c r="CV54" t="str">
        <f t="shared" si="82"/>
        <v>No</v>
      </c>
      <c r="CW54" t="str">
        <f t="shared" si="83"/>
        <v>No</v>
      </c>
      <c r="CX54" t="str">
        <f t="shared" si="84"/>
        <v>No</v>
      </c>
      <c r="CY54" t="str">
        <f t="shared" si="85"/>
        <v>No</v>
      </c>
      <c r="CZ54" t="str">
        <f t="shared" si="86"/>
        <v>No</v>
      </c>
      <c r="DA54" t="str">
        <f t="shared" si="87"/>
        <v>No</v>
      </c>
      <c r="DB54" t="str">
        <f t="shared" si="88"/>
        <v>No</v>
      </c>
      <c r="DC54" t="str">
        <f t="shared" si="89"/>
        <v>No</v>
      </c>
      <c r="DD54" t="str">
        <f t="shared" si="90"/>
        <v>No</v>
      </c>
      <c r="DE54" t="str">
        <f t="shared" si="91"/>
        <v>No</v>
      </c>
      <c r="DF54" t="str">
        <f t="shared" si="92"/>
        <v>No</v>
      </c>
      <c r="DG54" t="str">
        <f t="shared" si="93"/>
        <v>No</v>
      </c>
      <c r="DH54" t="str">
        <f t="shared" si="94"/>
        <v>No</v>
      </c>
      <c r="DI54" t="str">
        <f t="shared" si="95"/>
        <v>No</v>
      </c>
    </row>
    <row r="55" spans="1:113" x14ac:dyDescent="0.25">
      <c r="A55" s="109">
        <v>5</v>
      </c>
      <c r="B55" s="109">
        <v>5</v>
      </c>
      <c r="C55" s="109" t="s">
        <v>279</v>
      </c>
      <c r="D55" s="109" t="s">
        <v>80</v>
      </c>
      <c r="E55" s="109" t="s">
        <v>60</v>
      </c>
      <c r="F55" s="109">
        <v>127</v>
      </c>
      <c r="G55" s="109">
        <v>1056</v>
      </c>
      <c r="H55" s="109">
        <v>3</v>
      </c>
      <c r="I55" s="109">
        <v>37987</v>
      </c>
      <c r="J55" s="109" t="s">
        <v>199</v>
      </c>
      <c r="K55" s="109" t="s">
        <v>219</v>
      </c>
      <c r="L55" s="109">
        <v>51</v>
      </c>
      <c r="M55" s="109">
        <f t="shared" si="98"/>
        <v>8</v>
      </c>
      <c r="N55" s="109" t="s">
        <v>477</v>
      </c>
    </row>
    <row r="56" spans="1:113" x14ac:dyDescent="0.25">
      <c r="A56" s="109">
        <v>6</v>
      </c>
      <c r="B56" s="109">
        <v>12</v>
      </c>
      <c r="C56" s="109" t="s">
        <v>280</v>
      </c>
      <c r="D56" s="109" t="s">
        <v>42</v>
      </c>
      <c r="E56" s="109" t="s">
        <v>107</v>
      </c>
      <c r="F56" s="109">
        <v>120</v>
      </c>
      <c r="G56" s="109">
        <v>1131</v>
      </c>
      <c r="H56" s="109">
        <v>10</v>
      </c>
      <c r="I56" s="109">
        <v>37257</v>
      </c>
      <c r="J56" s="109" t="s">
        <v>281</v>
      </c>
      <c r="K56" s="109" t="s">
        <v>219</v>
      </c>
      <c r="L56" s="109">
        <v>56</v>
      </c>
      <c r="M56" s="109">
        <f t="shared" si="98"/>
        <v>9</v>
      </c>
      <c r="N56" s="109" t="s">
        <v>477</v>
      </c>
    </row>
    <row r="57" spans="1:113" x14ac:dyDescent="0.25">
      <c r="A57" s="109">
        <v>7</v>
      </c>
      <c r="B57" s="109">
        <v>11</v>
      </c>
      <c r="C57" s="109" t="s">
        <v>282</v>
      </c>
      <c r="D57" s="109" t="s">
        <v>27</v>
      </c>
      <c r="E57" s="109" t="s">
        <v>20</v>
      </c>
      <c r="F57" s="109">
        <v>121</v>
      </c>
      <c r="G57" s="109">
        <v>1057</v>
      </c>
      <c r="H57" s="109">
        <v>1</v>
      </c>
      <c r="I57" s="109">
        <v>37988</v>
      </c>
      <c r="J57" s="109" t="s">
        <v>283</v>
      </c>
      <c r="K57" s="109" t="s">
        <v>227</v>
      </c>
      <c r="L57" s="109">
        <v>12</v>
      </c>
      <c r="M57" s="109">
        <f t="shared" si="98"/>
        <v>5</v>
      </c>
      <c r="N57" s="109" t="s">
        <v>477</v>
      </c>
    </row>
    <row r="58" spans="1:113" x14ac:dyDescent="0.25">
      <c r="A58" s="109">
        <v>8</v>
      </c>
      <c r="B58" s="109">
        <v>8</v>
      </c>
      <c r="C58" s="109" t="s">
        <v>284</v>
      </c>
      <c r="D58" s="109" t="s">
        <v>30</v>
      </c>
      <c r="E58" s="109" t="s">
        <v>92</v>
      </c>
      <c r="F58" s="109">
        <v>128</v>
      </c>
      <c r="G58" s="109">
        <v>993</v>
      </c>
      <c r="H58" s="109">
        <v>5</v>
      </c>
      <c r="I58" s="109">
        <v>37258</v>
      </c>
      <c r="J58" s="109" t="s">
        <v>285</v>
      </c>
      <c r="K58" s="109" t="s">
        <v>227</v>
      </c>
      <c r="L58" s="109">
        <v>31</v>
      </c>
      <c r="M58" s="109">
        <f t="shared" si="98"/>
        <v>6</v>
      </c>
      <c r="N58" s="109" t="s">
        <v>477</v>
      </c>
    </row>
    <row r="59" spans="1:113" x14ac:dyDescent="0.25">
      <c r="A59" s="109">
        <v>9</v>
      </c>
      <c r="B59" s="109">
        <v>2</v>
      </c>
      <c r="C59" s="109" t="s">
        <v>286</v>
      </c>
      <c r="D59" s="109" t="s">
        <v>76</v>
      </c>
      <c r="E59" s="109" t="s">
        <v>43</v>
      </c>
      <c r="F59" s="109">
        <v>135</v>
      </c>
      <c r="G59" s="109">
        <v>1066</v>
      </c>
      <c r="H59" s="109">
        <v>9</v>
      </c>
      <c r="I59" s="109">
        <v>38049</v>
      </c>
      <c r="J59" s="109" t="s">
        <v>287</v>
      </c>
      <c r="K59" s="109" t="s">
        <v>233</v>
      </c>
      <c r="L59" s="109">
        <v>41</v>
      </c>
      <c r="M59" s="109">
        <f t="shared" si="98"/>
        <v>7</v>
      </c>
      <c r="N59" s="109" t="s">
        <v>477</v>
      </c>
    </row>
    <row r="60" spans="1:113" x14ac:dyDescent="0.25">
      <c r="A60" s="109">
        <v>10</v>
      </c>
      <c r="B60" s="109">
        <v>10</v>
      </c>
      <c r="C60" s="109" t="s">
        <v>288</v>
      </c>
      <c r="D60" s="109" t="s">
        <v>70</v>
      </c>
      <c r="E60" s="109" t="s">
        <v>55</v>
      </c>
      <c r="F60" s="109">
        <v>123</v>
      </c>
      <c r="G60" s="109">
        <v>1260</v>
      </c>
      <c r="H60" s="109">
        <v>8</v>
      </c>
      <c r="I60" s="109">
        <v>38051</v>
      </c>
      <c r="J60" s="109" t="s">
        <v>289</v>
      </c>
      <c r="K60" s="109" t="s">
        <v>290</v>
      </c>
      <c r="L60" s="109">
        <v>79</v>
      </c>
      <c r="M60" s="109">
        <f t="shared" si="98"/>
        <v>10</v>
      </c>
      <c r="N60" s="109" t="s">
        <v>477</v>
      </c>
    </row>
    <row r="61" spans="1:113" x14ac:dyDescent="0.25">
      <c r="A61" s="109" t="s">
        <v>96</v>
      </c>
      <c r="B61" s="109">
        <v>3</v>
      </c>
      <c r="C61" s="109" t="s">
        <v>291</v>
      </c>
      <c r="D61" s="109" t="s">
        <v>45</v>
      </c>
      <c r="E61" s="109" t="s">
        <v>113</v>
      </c>
      <c r="F61" s="109">
        <v>122</v>
      </c>
      <c r="G61" s="109" t="s">
        <v>21</v>
      </c>
      <c r="H61" s="109" t="s">
        <v>21</v>
      </c>
      <c r="I61" s="109" t="s">
        <v>21</v>
      </c>
      <c r="J61" s="109" t="s">
        <v>292</v>
      </c>
      <c r="K61" s="109" t="s">
        <v>21</v>
      </c>
      <c r="L61" s="109" t="s">
        <v>21</v>
      </c>
      <c r="M61" s="109" t="e">
        <f t="shared" si="98"/>
        <v>#VALUE!</v>
      </c>
      <c r="N61" s="109" t="s">
        <v>477</v>
      </c>
    </row>
    <row r="62" spans="1:113" x14ac:dyDescent="0.25">
      <c r="A62" s="109" t="s">
        <v>96</v>
      </c>
      <c r="B62" s="109">
        <v>7</v>
      </c>
      <c r="C62" s="109" t="s">
        <v>293</v>
      </c>
      <c r="D62" s="109" t="s">
        <v>39</v>
      </c>
      <c r="E62" s="109" t="s">
        <v>40</v>
      </c>
      <c r="F62" s="109">
        <v>129</v>
      </c>
      <c r="G62" s="109" t="s">
        <v>21</v>
      </c>
      <c r="H62" s="109" t="s">
        <v>21</v>
      </c>
      <c r="I62" s="109" t="s">
        <v>21</v>
      </c>
      <c r="J62" s="109" t="s">
        <v>294</v>
      </c>
      <c r="K62" s="109" t="s">
        <v>21</v>
      </c>
      <c r="L62" s="109" t="s">
        <v>21</v>
      </c>
      <c r="M62" s="109" t="e">
        <f t="shared" si="98"/>
        <v>#VALUE!</v>
      </c>
      <c r="N62" s="109" t="s">
        <v>477</v>
      </c>
    </row>
    <row r="63" spans="1:113" x14ac:dyDescent="0.25">
      <c r="M63" s="109" t="e">
        <f t="shared" si="98"/>
        <v>#N/A</v>
      </c>
      <c r="N63" s="109" t="s">
        <v>477</v>
      </c>
    </row>
    <row r="64" spans="1:113" x14ac:dyDescent="0.25">
      <c r="M64" s="109" t="e">
        <f t="shared" si="98"/>
        <v>#N/A</v>
      </c>
      <c r="N64" s="109" t="s">
        <v>477</v>
      </c>
    </row>
    <row r="65" spans="1:113" x14ac:dyDescent="0.25">
      <c r="A65" s="109" t="s">
        <v>0</v>
      </c>
      <c r="B65" s="109" t="s">
        <v>1</v>
      </c>
      <c r="C65" s="109" t="s">
        <v>2</v>
      </c>
      <c r="D65" s="109" t="s">
        <v>3</v>
      </c>
      <c r="E65" s="109" t="s">
        <v>4</v>
      </c>
      <c r="F65" s="109" t="s">
        <v>167</v>
      </c>
      <c r="G65" s="109" t="s">
        <v>168</v>
      </c>
      <c r="H65" s="109" t="s">
        <v>7</v>
      </c>
      <c r="I65" s="109" t="s">
        <v>169</v>
      </c>
      <c r="J65" s="109" t="s">
        <v>170</v>
      </c>
      <c r="K65" s="109" t="s">
        <v>171</v>
      </c>
      <c r="L65" s="109" t="s">
        <v>172</v>
      </c>
      <c r="M65" s="109" t="s">
        <v>467</v>
      </c>
      <c r="N65" s="109" t="s">
        <v>479</v>
      </c>
      <c r="AP65" t="str">
        <f t="shared" si="27"/>
        <v>No</v>
      </c>
      <c r="AQ65" t="str">
        <f t="shared" si="28"/>
        <v>No</v>
      </c>
      <c r="AR65" t="str">
        <f t="shared" si="29"/>
        <v>No</v>
      </c>
      <c r="AS65" t="str">
        <f t="shared" si="30"/>
        <v>No</v>
      </c>
      <c r="AT65" t="str">
        <f t="shared" si="31"/>
        <v>No</v>
      </c>
      <c r="AU65" t="str">
        <f t="shared" si="32"/>
        <v>No</v>
      </c>
      <c r="AV65" t="str">
        <f t="shared" si="33"/>
        <v>No</v>
      </c>
      <c r="AW65" t="str">
        <f t="shared" si="34"/>
        <v>No</v>
      </c>
      <c r="AX65" t="str">
        <f t="shared" si="35"/>
        <v>No</v>
      </c>
      <c r="AY65" t="str">
        <f t="shared" si="36"/>
        <v>No</v>
      </c>
      <c r="AZ65" t="str">
        <f t="shared" si="37"/>
        <v>No</v>
      </c>
      <c r="BA65" t="str">
        <f t="shared" si="38"/>
        <v>No</v>
      </c>
      <c r="BB65" t="str">
        <f t="shared" si="39"/>
        <v>No</v>
      </c>
      <c r="BC65" t="str">
        <f t="shared" si="40"/>
        <v>No</v>
      </c>
      <c r="BD65" t="str">
        <f t="shared" si="41"/>
        <v>No</v>
      </c>
      <c r="BF65" t="str">
        <f t="shared" si="42"/>
        <v>No</v>
      </c>
      <c r="BG65" t="str">
        <f t="shared" si="43"/>
        <v>No</v>
      </c>
      <c r="BH65" t="str">
        <f t="shared" si="44"/>
        <v>No</v>
      </c>
      <c r="BI65" t="str">
        <f t="shared" si="45"/>
        <v>No</v>
      </c>
      <c r="BJ65" t="str">
        <f t="shared" si="46"/>
        <v>No</v>
      </c>
      <c r="BK65" t="str">
        <f t="shared" si="47"/>
        <v>No</v>
      </c>
      <c r="BL65" t="str">
        <f t="shared" si="48"/>
        <v>No</v>
      </c>
      <c r="BM65" t="str">
        <f t="shared" si="49"/>
        <v>No</v>
      </c>
      <c r="BN65" t="str">
        <f t="shared" si="50"/>
        <v>No</v>
      </c>
    </row>
    <row r="66" spans="1:113" x14ac:dyDescent="0.25">
      <c r="A66" s="109">
        <v>1</v>
      </c>
      <c r="B66" s="109">
        <v>6</v>
      </c>
      <c r="C66" s="109" t="s">
        <v>295</v>
      </c>
      <c r="D66" s="109" t="s">
        <v>48</v>
      </c>
      <c r="E66" s="109" t="s">
        <v>52</v>
      </c>
      <c r="F66" s="109">
        <v>124</v>
      </c>
      <c r="G66" s="109">
        <v>1115</v>
      </c>
      <c r="H66" s="109">
        <v>6</v>
      </c>
      <c r="I66" s="109" t="s">
        <v>21</v>
      </c>
      <c r="J66" s="109" t="s">
        <v>296</v>
      </c>
      <c r="K66" s="109" t="s">
        <v>241</v>
      </c>
      <c r="L66" s="109">
        <v>8.6999999999999993</v>
      </c>
      <c r="M66" s="109">
        <f>RANK(L66, $L$66:$L$79,1)</f>
        <v>4</v>
      </c>
      <c r="N66" s="109" t="s">
        <v>476</v>
      </c>
      <c r="O66" t="str">
        <f>IF(AND($L66&gt;=1, $L66&lt;=4), "1-4", "No")</f>
        <v>No</v>
      </c>
      <c r="P66" t="str">
        <f>IF(AND($L66&gt;=5, $L66&lt;=10), "5-10", "No")</f>
        <v>5-10</v>
      </c>
      <c r="Q66" t="str">
        <f>IF(AND($L66&gt;=11, $L66&lt;=20), "11-20", "No")</f>
        <v>No</v>
      </c>
      <c r="R66" t="str">
        <f>IF(AND($L66&gt;=20, $L66&lt;=30), "20-30", "No")</f>
        <v>No</v>
      </c>
      <c r="S66" t="str">
        <f>IF(AND($L66&gt;=30, $L66&lt;=999), "&gt;30", "No")</f>
        <v>No</v>
      </c>
      <c r="T66" t="str">
        <f>IF(AND($H66&gt;=1, $H66&lt;=6), "1-4", "No")</f>
        <v>1-4</v>
      </c>
      <c r="U66" t="str">
        <f>IF(AND($H66&gt;=5, $H66&lt;=10), "5-10", "No")</f>
        <v>5-10</v>
      </c>
      <c r="V66" t="str">
        <f>IF(AND($H66&gt;=11, $H66&lt;=12), "11-12", "No")</f>
        <v>No</v>
      </c>
      <c r="W66" t="str">
        <f>IF(AND($F66&gt;=0, $F66&lt;=117), "0-117", "No")</f>
        <v>No</v>
      </c>
      <c r="X66" t="str">
        <f>IF(AND($F66&gt;=118, $F66&lt;=127), "118-127", "No")</f>
        <v>118-127</v>
      </c>
      <c r="Y66" t="str">
        <f>IF(AND($F66&gt;=128, $F66&lt;=999), "&gt;128", "No")</f>
        <v>No</v>
      </c>
      <c r="Z66" t="str">
        <f t="shared" si="12"/>
        <v>No</v>
      </c>
      <c r="AA66" t="str">
        <f t="shared" si="13"/>
        <v>No</v>
      </c>
      <c r="AB66" t="str">
        <f t="shared" si="14"/>
        <v>No</v>
      </c>
      <c r="AC66" t="str">
        <f t="shared" si="15"/>
        <v>No</v>
      </c>
      <c r="AD66" t="str">
        <f t="shared" si="16"/>
        <v>Yes</v>
      </c>
      <c r="AE66" t="str">
        <f t="shared" si="17"/>
        <v>No</v>
      </c>
      <c r="AF66" t="str">
        <f t="shared" si="18"/>
        <v>No</v>
      </c>
      <c r="AG66" t="str">
        <f t="shared" si="19"/>
        <v>No</v>
      </c>
      <c r="AH66" t="str">
        <f t="shared" si="20"/>
        <v>No</v>
      </c>
      <c r="AI66" t="str">
        <f t="shared" si="21"/>
        <v>No</v>
      </c>
      <c r="AJ66" t="str">
        <f t="shared" si="22"/>
        <v>No</v>
      </c>
      <c r="AK66" t="str">
        <f t="shared" si="23"/>
        <v>No</v>
      </c>
      <c r="AL66" t="str">
        <f t="shared" si="24"/>
        <v>No</v>
      </c>
      <c r="AM66" t="str">
        <f t="shared" si="25"/>
        <v>No</v>
      </c>
      <c r="AN66" t="str">
        <f t="shared" si="26"/>
        <v>No</v>
      </c>
      <c r="AP66" t="str">
        <f t="shared" si="27"/>
        <v>No</v>
      </c>
      <c r="AQ66" t="str">
        <f t="shared" si="28"/>
        <v>No</v>
      </c>
      <c r="AR66" t="str">
        <f t="shared" si="29"/>
        <v>No</v>
      </c>
      <c r="AS66" t="str">
        <f t="shared" si="30"/>
        <v>No</v>
      </c>
      <c r="AT66" t="str">
        <f t="shared" si="31"/>
        <v>Yes</v>
      </c>
      <c r="AU66" t="str">
        <f t="shared" si="32"/>
        <v>No</v>
      </c>
      <c r="AV66" t="str">
        <f t="shared" si="33"/>
        <v>No</v>
      </c>
      <c r="AW66" t="str">
        <f t="shared" si="34"/>
        <v>No</v>
      </c>
      <c r="AX66" t="str">
        <f t="shared" si="35"/>
        <v>No</v>
      </c>
      <c r="AY66" t="str">
        <f t="shared" si="36"/>
        <v>No</v>
      </c>
      <c r="AZ66" t="str">
        <f t="shared" si="37"/>
        <v>No</v>
      </c>
      <c r="BA66" t="str">
        <f t="shared" si="38"/>
        <v>No</v>
      </c>
      <c r="BB66" t="str">
        <f t="shared" si="39"/>
        <v>No</v>
      </c>
      <c r="BC66" t="str">
        <f t="shared" si="40"/>
        <v>No</v>
      </c>
      <c r="BD66" t="str">
        <f t="shared" si="41"/>
        <v>No</v>
      </c>
      <c r="BF66" t="str">
        <f t="shared" si="42"/>
        <v>No</v>
      </c>
      <c r="BG66" t="str">
        <f t="shared" si="43"/>
        <v>No</v>
      </c>
      <c r="BH66" t="str">
        <f t="shared" si="44"/>
        <v>No</v>
      </c>
      <c r="BI66" t="str">
        <f t="shared" si="45"/>
        <v>No</v>
      </c>
      <c r="BJ66" t="str">
        <f t="shared" si="46"/>
        <v>Yes</v>
      </c>
      <c r="BK66" t="str">
        <f t="shared" si="47"/>
        <v>No</v>
      </c>
      <c r="BL66" t="str">
        <f t="shared" si="48"/>
        <v>No</v>
      </c>
      <c r="BM66" t="str">
        <f t="shared" si="49"/>
        <v>No</v>
      </c>
      <c r="BN66" t="str">
        <f t="shared" si="50"/>
        <v>No</v>
      </c>
      <c r="BQ66" t="str">
        <f t="shared" si="51"/>
        <v>No</v>
      </c>
      <c r="BR66" t="str">
        <f t="shared" si="52"/>
        <v>No</v>
      </c>
      <c r="BS66" t="str">
        <f t="shared" si="53"/>
        <v>No</v>
      </c>
      <c r="BT66" t="str">
        <f t="shared" si="54"/>
        <v>No</v>
      </c>
      <c r="BU66" t="str">
        <f t="shared" si="55"/>
        <v>No</v>
      </c>
      <c r="BV66" t="str">
        <f t="shared" si="56"/>
        <v>No</v>
      </c>
      <c r="BW66" t="str">
        <f t="shared" si="57"/>
        <v>No</v>
      </c>
      <c r="BX66" t="str">
        <f t="shared" si="58"/>
        <v>No</v>
      </c>
      <c r="BY66" t="str">
        <f t="shared" si="59"/>
        <v>No</v>
      </c>
      <c r="BZ66" t="str">
        <f t="shared" si="60"/>
        <v>No</v>
      </c>
      <c r="CA66" t="str">
        <f t="shared" si="61"/>
        <v>No</v>
      </c>
      <c r="CB66" t="str">
        <f t="shared" si="62"/>
        <v>No</v>
      </c>
      <c r="CC66" t="str">
        <f t="shared" si="63"/>
        <v>No</v>
      </c>
      <c r="CD66" t="str">
        <f t="shared" si="64"/>
        <v>Yes</v>
      </c>
      <c r="CE66" t="str">
        <f t="shared" si="65"/>
        <v>No</v>
      </c>
      <c r="CF66" t="str">
        <f t="shared" si="66"/>
        <v>No</v>
      </c>
      <c r="CG66" t="str">
        <f t="shared" si="67"/>
        <v>No</v>
      </c>
      <c r="CH66" t="str">
        <f t="shared" si="68"/>
        <v>No</v>
      </c>
      <c r="CI66" t="str">
        <f t="shared" si="69"/>
        <v>No</v>
      </c>
      <c r="CJ66" t="str">
        <f t="shared" si="70"/>
        <v>No</v>
      </c>
      <c r="CK66" t="str">
        <f t="shared" si="71"/>
        <v>No</v>
      </c>
      <c r="CL66" t="str">
        <f t="shared" si="72"/>
        <v>No</v>
      </c>
      <c r="CM66" t="str">
        <f t="shared" si="73"/>
        <v>No</v>
      </c>
      <c r="CN66" t="str">
        <f t="shared" si="74"/>
        <v>No</v>
      </c>
      <c r="CO66" t="str">
        <f t="shared" si="75"/>
        <v>No</v>
      </c>
      <c r="CP66" t="str">
        <f t="shared" si="76"/>
        <v>No</v>
      </c>
      <c r="CQ66" t="str">
        <f t="shared" si="77"/>
        <v>No</v>
      </c>
      <c r="CR66" t="str">
        <f t="shared" si="78"/>
        <v>No</v>
      </c>
      <c r="CS66" t="str">
        <f t="shared" si="79"/>
        <v>No</v>
      </c>
      <c r="CT66" t="str">
        <f t="shared" si="80"/>
        <v>No</v>
      </c>
      <c r="CU66" t="str">
        <f t="shared" si="81"/>
        <v>No</v>
      </c>
      <c r="CV66" t="str">
        <f t="shared" si="82"/>
        <v>No</v>
      </c>
      <c r="CW66" t="str">
        <f t="shared" si="83"/>
        <v>No</v>
      </c>
      <c r="CX66" t="str">
        <f t="shared" si="84"/>
        <v>No</v>
      </c>
      <c r="CY66" t="str">
        <f t="shared" si="85"/>
        <v>No</v>
      </c>
      <c r="CZ66" t="str">
        <f t="shared" si="86"/>
        <v>No</v>
      </c>
      <c r="DA66" t="str">
        <f t="shared" si="87"/>
        <v>No</v>
      </c>
      <c r="DB66" t="str">
        <f t="shared" si="88"/>
        <v>No</v>
      </c>
      <c r="DC66" t="str">
        <f t="shared" si="89"/>
        <v>No</v>
      </c>
      <c r="DD66" t="str">
        <f t="shared" si="90"/>
        <v>No</v>
      </c>
      <c r="DE66" t="str">
        <f t="shared" si="91"/>
        <v>No</v>
      </c>
      <c r="DF66" t="str">
        <f t="shared" si="92"/>
        <v>No</v>
      </c>
      <c r="DG66" t="str">
        <f t="shared" si="93"/>
        <v>No</v>
      </c>
      <c r="DH66" t="str">
        <f t="shared" si="94"/>
        <v>No</v>
      </c>
      <c r="DI66" t="str">
        <f t="shared" si="95"/>
        <v>No</v>
      </c>
    </row>
    <row r="67" spans="1:113" x14ac:dyDescent="0.25">
      <c r="A67" s="109">
        <v>2</v>
      </c>
      <c r="B67" s="109">
        <v>12</v>
      </c>
      <c r="C67" s="109" t="s">
        <v>297</v>
      </c>
      <c r="D67" s="109" t="s">
        <v>76</v>
      </c>
      <c r="E67" s="109" t="s">
        <v>92</v>
      </c>
      <c r="F67" s="109">
        <v>117</v>
      </c>
      <c r="G67" s="109">
        <v>1136</v>
      </c>
      <c r="H67" s="109">
        <v>10</v>
      </c>
      <c r="I67" s="109" t="s">
        <v>117</v>
      </c>
      <c r="J67" s="109" t="s">
        <v>298</v>
      </c>
      <c r="K67" s="109" t="s">
        <v>184</v>
      </c>
      <c r="L67" s="109">
        <v>13</v>
      </c>
      <c r="M67" s="109">
        <f t="shared" ref="M67:M79" si="99">RANK(L67, $L$66:$L$79,1)</f>
        <v>8</v>
      </c>
      <c r="N67" s="109" t="s">
        <v>476</v>
      </c>
      <c r="O67" t="str">
        <f>IF(AND($L67&gt;=1, $L67&lt;=4), "1-4", "No")</f>
        <v>No</v>
      </c>
      <c r="P67" t="str">
        <f>IF(AND($L67&gt;=5, $L67&lt;=10), "5-10", "No")</f>
        <v>No</v>
      </c>
      <c r="Q67" t="str">
        <f>IF(AND($L67&gt;=11, $L67&lt;=20), "11-20", "No")</f>
        <v>11-20</v>
      </c>
      <c r="R67" t="str">
        <f>IF(AND($L67&gt;=20, $L67&lt;=30), "20-30", "No")</f>
        <v>No</v>
      </c>
      <c r="S67" t="str">
        <f>IF(AND($L67&gt;=30, $L67&lt;=999), "&gt;30", "No")</f>
        <v>No</v>
      </c>
      <c r="T67" t="str">
        <f>IF(AND($H67&gt;=1, $H67&lt;=6), "1-4", "No")</f>
        <v>No</v>
      </c>
      <c r="U67" t="str">
        <f>IF(AND($H67&gt;=5, $H67&lt;=10), "5-10", "No")</f>
        <v>5-10</v>
      </c>
      <c r="V67" t="str">
        <f>IF(AND($H67&gt;=11, $H67&lt;=12), "11-12", "No")</f>
        <v>No</v>
      </c>
      <c r="W67" t="str">
        <f>IF(AND($F67&gt;=0, $F67&lt;=117), "0-117", "No")</f>
        <v>0-117</v>
      </c>
      <c r="X67" t="str">
        <f>IF(AND($F67&gt;=118, $F67&lt;=127), "118-127", "No")</f>
        <v>No</v>
      </c>
      <c r="Y67" t="str">
        <f>IF(AND($F67&gt;=128, $F67&lt;=999), "&gt;128", "No")</f>
        <v>No</v>
      </c>
      <c r="Z67" t="str">
        <f t="shared" si="12"/>
        <v>No</v>
      </c>
      <c r="AA67" t="str">
        <f t="shared" si="13"/>
        <v>No</v>
      </c>
      <c r="AB67" t="str">
        <f t="shared" si="14"/>
        <v>No</v>
      </c>
      <c r="AC67" t="str">
        <f t="shared" si="15"/>
        <v>No</v>
      </c>
      <c r="AD67" t="str">
        <f t="shared" si="16"/>
        <v>No</v>
      </c>
      <c r="AE67" t="str">
        <f t="shared" si="17"/>
        <v>No</v>
      </c>
      <c r="AF67" t="str">
        <f t="shared" si="18"/>
        <v>No</v>
      </c>
      <c r="AG67" t="str">
        <f t="shared" si="19"/>
        <v>Yes</v>
      </c>
      <c r="AH67" t="str">
        <f t="shared" si="20"/>
        <v>No</v>
      </c>
      <c r="AI67" t="str">
        <f t="shared" si="21"/>
        <v>No</v>
      </c>
      <c r="AJ67" t="str">
        <f t="shared" si="22"/>
        <v>No</v>
      </c>
      <c r="AK67" t="str">
        <f t="shared" si="23"/>
        <v>No</v>
      </c>
      <c r="AL67" t="str">
        <f t="shared" si="24"/>
        <v>No</v>
      </c>
      <c r="AM67" t="str">
        <f t="shared" si="25"/>
        <v>No</v>
      </c>
      <c r="AN67" t="str">
        <f t="shared" si="26"/>
        <v>No</v>
      </c>
      <c r="AP67" t="str">
        <f t="shared" si="27"/>
        <v>No</v>
      </c>
      <c r="AQ67" t="str">
        <f t="shared" si="28"/>
        <v>No</v>
      </c>
      <c r="AR67" t="str">
        <f t="shared" si="29"/>
        <v>No</v>
      </c>
      <c r="AS67" t="str">
        <f t="shared" si="30"/>
        <v>No</v>
      </c>
      <c r="AT67" t="str">
        <f t="shared" si="31"/>
        <v>No</v>
      </c>
      <c r="AU67" t="str">
        <f t="shared" si="32"/>
        <v>No</v>
      </c>
      <c r="AV67" t="str">
        <f t="shared" si="33"/>
        <v>Yes</v>
      </c>
      <c r="AW67" t="str">
        <f t="shared" si="34"/>
        <v>No</v>
      </c>
      <c r="AX67" t="str">
        <f t="shared" si="35"/>
        <v>No</v>
      </c>
      <c r="AY67" t="str">
        <f t="shared" si="36"/>
        <v>No</v>
      </c>
      <c r="AZ67" t="str">
        <f t="shared" si="37"/>
        <v>No</v>
      </c>
      <c r="BA67" t="str">
        <f t="shared" si="38"/>
        <v>No</v>
      </c>
      <c r="BB67" t="str">
        <f t="shared" si="39"/>
        <v>No</v>
      </c>
      <c r="BC67" t="str">
        <f t="shared" si="40"/>
        <v>No</v>
      </c>
      <c r="BD67" t="str">
        <f t="shared" si="41"/>
        <v>No</v>
      </c>
      <c r="BF67" t="str">
        <f t="shared" si="42"/>
        <v>No</v>
      </c>
      <c r="BG67" t="str">
        <f t="shared" si="43"/>
        <v>No</v>
      </c>
      <c r="BH67" t="str">
        <f t="shared" si="44"/>
        <v>No</v>
      </c>
      <c r="BI67" t="str">
        <f t="shared" si="45"/>
        <v>Yes</v>
      </c>
      <c r="BJ67" t="str">
        <f t="shared" si="46"/>
        <v>No</v>
      </c>
      <c r="BK67" t="str">
        <f t="shared" si="47"/>
        <v>No</v>
      </c>
      <c r="BL67" t="str">
        <f t="shared" si="48"/>
        <v>No</v>
      </c>
      <c r="BM67" t="str">
        <f t="shared" si="49"/>
        <v>No</v>
      </c>
      <c r="BN67" t="str">
        <f t="shared" si="50"/>
        <v>No</v>
      </c>
      <c r="BQ67" t="str">
        <f t="shared" si="51"/>
        <v>No</v>
      </c>
      <c r="BR67" t="str">
        <f t="shared" si="52"/>
        <v>No</v>
      </c>
      <c r="BS67" t="str">
        <f t="shared" si="53"/>
        <v>No</v>
      </c>
      <c r="BT67" t="str">
        <f t="shared" si="54"/>
        <v>No</v>
      </c>
      <c r="BU67" t="str">
        <f t="shared" si="55"/>
        <v>No</v>
      </c>
      <c r="BV67" t="str">
        <f t="shared" si="56"/>
        <v>No</v>
      </c>
      <c r="BW67" t="str">
        <f t="shared" si="57"/>
        <v>No</v>
      </c>
      <c r="BX67" t="str">
        <f t="shared" si="58"/>
        <v>No</v>
      </c>
      <c r="BY67" t="str">
        <f t="shared" si="59"/>
        <v>No</v>
      </c>
      <c r="BZ67" t="str">
        <f t="shared" si="60"/>
        <v>No</v>
      </c>
      <c r="CA67" t="str">
        <f t="shared" si="61"/>
        <v>No</v>
      </c>
      <c r="CB67" t="str">
        <f t="shared" si="62"/>
        <v>No</v>
      </c>
      <c r="CC67" t="str">
        <f t="shared" si="63"/>
        <v>No</v>
      </c>
      <c r="CD67" t="str">
        <f t="shared" si="64"/>
        <v>No</v>
      </c>
      <c r="CE67" t="str">
        <f t="shared" si="65"/>
        <v>No</v>
      </c>
      <c r="CF67" t="str">
        <f t="shared" si="66"/>
        <v>No</v>
      </c>
      <c r="CG67" t="str">
        <f t="shared" si="67"/>
        <v>No</v>
      </c>
      <c r="CH67" t="str">
        <f t="shared" si="68"/>
        <v>No</v>
      </c>
      <c r="CI67" t="str">
        <f t="shared" si="69"/>
        <v>No</v>
      </c>
      <c r="CJ67" t="str">
        <f t="shared" si="70"/>
        <v>No</v>
      </c>
      <c r="CK67" t="str">
        <f t="shared" si="71"/>
        <v>No</v>
      </c>
      <c r="CL67" t="str">
        <f t="shared" si="72"/>
        <v>Yes</v>
      </c>
      <c r="CM67" t="str">
        <f t="shared" si="73"/>
        <v>No</v>
      </c>
      <c r="CN67" t="str">
        <f t="shared" si="74"/>
        <v>No</v>
      </c>
      <c r="CO67" t="str">
        <f t="shared" si="75"/>
        <v>No</v>
      </c>
      <c r="CP67" t="str">
        <f t="shared" si="76"/>
        <v>No</v>
      </c>
      <c r="CQ67" t="str">
        <f t="shared" si="77"/>
        <v>No</v>
      </c>
      <c r="CR67" t="str">
        <f t="shared" si="78"/>
        <v>No</v>
      </c>
      <c r="CS67" t="str">
        <f t="shared" si="79"/>
        <v>No</v>
      </c>
      <c r="CT67" t="str">
        <f t="shared" si="80"/>
        <v>No</v>
      </c>
      <c r="CU67" t="str">
        <f t="shared" si="81"/>
        <v>No</v>
      </c>
      <c r="CV67" t="str">
        <f t="shared" si="82"/>
        <v>No</v>
      </c>
      <c r="CW67" t="str">
        <f t="shared" si="83"/>
        <v>No</v>
      </c>
      <c r="CX67" t="str">
        <f t="shared" si="84"/>
        <v>No</v>
      </c>
      <c r="CY67" t="str">
        <f t="shared" si="85"/>
        <v>No</v>
      </c>
      <c r="CZ67" t="str">
        <f t="shared" si="86"/>
        <v>No</v>
      </c>
      <c r="DA67" t="str">
        <f t="shared" si="87"/>
        <v>No</v>
      </c>
      <c r="DB67" t="str">
        <f t="shared" si="88"/>
        <v>No</v>
      </c>
      <c r="DC67" t="str">
        <f t="shared" si="89"/>
        <v>No</v>
      </c>
      <c r="DD67" t="str">
        <f t="shared" si="90"/>
        <v>No</v>
      </c>
      <c r="DE67" t="str">
        <f t="shared" si="91"/>
        <v>No</v>
      </c>
      <c r="DF67" t="str">
        <f t="shared" si="92"/>
        <v>No</v>
      </c>
      <c r="DG67" t="str">
        <f t="shared" si="93"/>
        <v>No</v>
      </c>
      <c r="DH67" t="str">
        <f t="shared" si="94"/>
        <v>No</v>
      </c>
      <c r="DI67" t="str">
        <f t="shared" si="95"/>
        <v>No</v>
      </c>
    </row>
    <row r="68" spans="1:113" x14ac:dyDescent="0.25">
      <c r="A68" s="109" t="s">
        <v>61</v>
      </c>
      <c r="B68" s="109">
        <v>1</v>
      </c>
      <c r="C68" s="109" t="s">
        <v>299</v>
      </c>
      <c r="D68" s="109" t="s">
        <v>36</v>
      </c>
      <c r="E68" s="109" t="s">
        <v>74</v>
      </c>
      <c r="F68" s="109">
        <v>135</v>
      </c>
      <c r="G68" s="109">
        <v>1060</v>
      </c>
      <c r="H68" s="109">
        <v>9</v>
      </c>
      <c r="I68" s="109">
        <v>37987</v>
      </c>
      <c r="J68" s="109" t="s">
        <v>300</v>
      </c>
      <c r="K68" s="109" t="s">
        <v>187</v>
      </c>
      <c r="L68" s="109">
        <v>15</v>
      </c>
      <c r="M68" s="109">
        <f t="shared" si="99"/>
        <v>9</v>
      </c>
      <c r="N68" s="109" t="s">
        <v>476</v>
      </c>
      <c r="O68" t="str">
        <f>IF(AND($L68&gt;=1, $L68&lt;=4), "1-4", "No")</f>
        <v>No</v>
      </c>
      <c r="P68" t="str">
        <f>IF(AND($L68&gt;=5, $L68&lt;=10), "5-10", "No")</f>
        <v>No</v>
      </c>
      <c r="Q68" t="str">
        <f>IF(AND($L68&gt;=11, $L68&lt;=20), "11-20", "No")</f>
        <v>11-20</v>
      </c>
      <c r="R68" t="str">
        <f>IF(AND($L68&gt;=20, $L68&lt;=30), "20-30", "No")</f>
        <v>No</v>
      </c>
      <c r="S68" t="str">
        <f>IF(AND($L68&gt;=30, $L68&lt;=999), "&gt;30", "No")</f>
        <v>No</v>
      </c>
      <c r="T68" t="str">
        <f>IF(AND($H68&gt;=1, $H68&lt;=6), "1-4", "No")</f>
        <v>No</v>
      </c>
      <c r="U68" t="str">
        <f>IF(AND($H68&gt;=5, $H68&lt;=10), "5-10", "No")</f>
        <v>5-10</v>
      </c>
      <c r="V68" t="str">
        <f>IF(AND($H68&gt;=11, $H68&lt;=12), "11-12", "No")</f>
        <v>No</v>
      </c>
      <c r="W68" t="str">
        <f>IF(AND($F68&gt;=0, $F68&lt;=117), "0-117", "No")</f>
        <v>No</v>
      </c>
      <c r="X68" t="str">
        <f>IF(AND($F68&gt;=118, $F68&lt;=127), "118-127", "No")</f>
        <v>No</v>
      </c>
      <c r="Y68" t="str">
        <f>IF(AND($F68&gt;=128, $F68&lt;=999), "&gt;128", "No")</f>
        <v>&gt;128</v>
      </c>
      <c r="Z68" t="str">
        <f t="shared" si="12"/>
        <v>No</v>
      </c>
      <c r="AA68" t="str">
        <f t="shared" si="13"/>
        <v>No</v>
      </c>
      <c r="AB68" t="str">
        <f t="shared" si="14"/>
        <v>No</v>
      </c>
      <c r="AC68" t="str">
        <f t="shared" si="15"/>
        <v>No</v>
      </c>
      <c r="AD68" t="str">
        <f t="shared" si="16"/>
        <v>No</v>
      </c>
      <c r="AE68" t="str">
        <f t="shared" si="17"/>
        <v>No</v>
      </c>
      <c r="AF68" t="str">
        <f t="shared" si="18"/>
        <v>No</v>
      </c>
      <c r="AG68" t="str">
        <f t="shared" si="19"/>
        <v>Yes</v>
      </c>
      <c r="AH68" t="str">
        <f t="shared" si="20"/>
        <v>No</v>
      </c>
      <c r="AI68" t="str">
        <f t="shared" si="21"/>
        <v>No</v>
      </c>
      <c r="AJ68" t="str">
        <f t="shared" si="22"/>
        <v>No</v>
      </c>
      <c r="AK68" t="str">
        <f t="shared" si="23"/>
        <v>No</v>
      </c>
      <c r="AL68" t="str">
        <f t="shared" si="24"/>
        <v>No</v>
      </c>
      <c r="AM68" t="str">
        <f t="shared" si="25"/>
        <v>No</v>
      </c>
      <c r="AN68" t="str">
        <f t="shared" si="26"/>
        <v>No</v>
      </c>
      <c r="AP68" t="str">
        <f t="shared" si="27"/>
        <v>No</v>
      </c>
      <c r="AQ68" t="str">
        <f t="shared" si="28"/>
        <v>No</v>
      </c>
      <c r="AR68" t="str">
        <f t="shared" si="29"/>
        <v>No</v>
      </c>
      <c r="AS68" t="str">
        <f t="shared" si="30"/>
        <v>No</v>
      </c>
      <c r="AT68" t="str">
        <f t="shared" si="31"/>
        <v>No</v>
      </c>
      <c r="AU68" t="str">
        <f t="shared" si="32"/>
        <v>No</v>
      </c>
      <c r="AV68" t="str">
        <f t="shared" si="33"/>
        <v>No</v>
      </c>
      <c r="AW68" t="str">
        <f t="shared" si="34"/>
        <v>No</v>
      </c>
      <c r="AX68" t="str">
        <f t="shared" si="35"/>
        <v>Yes</v>
      </c>
      <c r="AY68" t="str">
        <f t="shared" si="36"/>
        <v>No</v>
      </c>
      <c r="AZ68" t="str">
        <f t="shared" si="37"/>
        <v>No</v>
      </c>
      <c r="BA68" t="str">
        <f t="shared" si="38"/>
        <v>No</v>
      </c>
      <c r="BB68" t="str">
        <f t="shared" si="39"/>
        <v>No</v>
      </c>
      <c r="BC68" t="str">
        <f t="shared" si="40"/>
        <v>No</v>
      </c>
      <c r="BD68" t="str">
        <f t="shared" si="41"/>
        <v>No</v>
      </c>
      <c r="BF68" t="str">
        <f t="shared" si="42"/>
        <v>No</v>
      </c>
      <c r="BG68" t="str">
        <f t="shared" si="43"/>
        <v>No</v>
      </c>
      <c r="BH68" t="str">
        <f t="shared" si="44"/>
        <v>No</v>
      </c>
      <c r="BI68" t="str">
        <f t="shared" si="45"/>
        <v>No</v>
      </c>
      <c r="BJ68" t="str">
        <f t="shared" si="46"/>
        <v>No</v>
      </c>
      <c r="BK68" t="str">
        <f t="shared" si="47"/>
        <v>Yes</v>
      </c>
      <c r="BL68" t="str">
        <f t="shared" si="48"/>
        <v>No</v>
      </c>
      <c r="BM68" t="str">
        <f t="shared" si="49"/>
        <v>No</v>
      </c>
      <c r="BN68" t="str">
        <f t="shared" si="50"/>
        <v>No</v>
      </c>
      <c r="BQ68" t="str">
        <f t="shared" si="51"/>
        <v>No</v>
      </c>
      <c r="BR68" t="str">
        <f t="shared" si="52"/>
        <v>No</v>
      </c>
      <c r="BS68" t="str">
        <f t="shared" si="53"/>
        <v>No</v>
      </c>
      <c r="BT68" t="str">
        <f t="shared" si="54"/>
        <v>No</v>
      </c>
      <c r="BU68" t="str">
        <f t="shared" si="55"/>
        <v>No</v>
      </c>
      <c r="BV68" t="str">
        <f t="shared" si="56"/>
        <v>No</v>
      </c>
      <c r="BW68" t="str">
        <f t="shared" si="57"/>
        <v>No</v>
      </c>
      <c r="BX68" t="str">
        <f t="shared" si="58"/>
        <v>No</v>
      </c>
      <c r="BY68" t="str">
        <f t="shared" si="59"/>
        <v>No</v>
      </c>
      <c r="BZ68" t="str">
        <f t="shared" si="60"/>
        <v>No</v>
      </c>
      <c r="CA68" t="str">
        <f t="shared" si="61"/>
        <v>No</v>
      </c>
      <c r="CB68" t="str">
        <f t="shared" si="62"/>
        <v>No</v>
      </c>
      <c r="CC68" t="str">
        <f t="shared" si="63"/>
        <v>No</v>
      </c>
      <c r="CD68" t="str">
        <f t="shared" si="64"/>
        <v>No</v>
      </c>
      <c r="CE68" t="str">
        <f t="shared" si="65"/>
        <v>No</v>
      </c>
      <c r="CF68" t="str">
        <f t="shared" si="66"/>
        <v>No</v>
      </c>
      <c r="CG68" t="str">
        <f t="shared" si="67"/>
        <v>No</v>
      </c>
      <c r="CH68" t="str">
        <f t="shared" si="68"/>
        <v>No</v>
      </c>
      <c r="CI68" t="str">
        <f t="shared" si="69"/>
        <v>No</v>
      </c>
      <c r="CJ68" t="str">
        <f t="shared" si="70"/>
        <v>No</v>
      </c>
      <c r="CK68" t="str">
        <f t="shared" si="71"/>
        <v>No</v>
      </c>
      <c r="CL68" t="str">
        <f t="shared" si="72"/>
        <v>No</v>
      </c>
      <c r="CM68" t="str">
        <f t="shared" si="73"/>
        <v>No</v>
      </c>
      <c r="CN68" t="str">
        <f t="shared" si="74"/>
        <v>Yes</v>
      </c>
      <c r="CO68" t="str">
        <f t="shared" si="75"/>
        <v>No</v>
      </c>
      <c r="CP68" t="str">
        <f t="shared" si="76"/>
        <v>No</v>
      </c>
      <c r="CQ68" t="str">
        <f t="shared" si="77"/>
        <v>No</v>
      </c>
      <c r="CR68" t="str">
        <f t="shared" si="78"/>
        <v>No</v>
      </c>
      <c r="CS68" t="str">
        <f t="shared" si="79"/>
        <v>No</v>
      </c>
      <c r="CT68" t="str">
        <f t="shared" si="80"/>
        <v>No</v>
      </c>
      <c r="CU68" t="str">
        <f t="shared" si="81"/>
        <v>No</v>
      </c>
      <c r="CV68" t="str">
        <f t="shared" si="82"/>
        <v>No</v>
      </c>
      <c r="CW68" t="str">
        <f t="shared" si="83"/>
        <v>No</v>
      </c>
      <c r="CX68" t="str">
        <f t="shared" si="84"/>
        <v>No</v>
      </c>
      <c r="CY68" t="str">
        <f t="shared" si="85"/>
        <v>No</v>
      </c>
      <c r="CZ68" t="str">
        <f t="shared" si="86"/>
        <v>No</v>
      </c>
      <c r="DA68" t="str">
        <f t="shared" si="87"/>
        <v>No</v>
      </c>
      <c r="DB68" t="str">
        <f t="shared" si="88"/>
        <v>No</v>
      </c>
      <c r="DC68" t="str">
        <f t="shared" si="89"/>
        <v>No</v>
      </c>
      <c r="DD68" t="str">
        <f t="shared" si="90"/>
        <v>No</v>
      </c>
      <c r="DE68" t="str">
        <f t="shared" si="91"/>
        <v>No</v>
      </c>
      <c r="DF68" t="str">
        <f t="shared" si="92"/>
        <v>No</v>
      </c>
      <c r="DG68" t="str">
        <f t="shared" si="93"/>
        <v>No</v>
      </c>
      <c r="DH68" t="str">
        <f t="shared" si="94"/>
        <v>No</v>
      </c>
      <c r="DI68" t="str">
        <f t="shared" si="95"/>
        <v>No</v>
      </c>
    </row>
    <row r="69" spans="1:113" x14ac:dyDescent="0.25">
      <c r="A69" s="109">
        <v>4</v>
      </c>
      <c r="B69" s="109">
        <v>10</v>
      </c>
      <c r="C69" s="109" t="s">
        <v>301</v>
      </c>
      <c r="D69" s="109" t="s">
        <v>70</v>
      </c>
      <c r="E69" s="109" t="s">
        <v>57</v>
      </c>
      <c r="F69" s="109">
        <v>120</v>
      </c>
      <c r="G69" s="109">
        <v>1049</v>
      </c>
      <c r="H69" s="109">
        <v>8</v>
      </c>
      <c r="I69" s="109">
        <v>37987</v>
      </c>
      <c r="J69" s="109" t="s">
        <v>302</v>
      </c>
      <c r="K69" s="109" t="s">
        <v>187</v>
      </c>
      <c r="L69" s="109">
        <v>44</v>
      </c>
      <c r="M69" s="109">
        <f t="shared" si="99"/>
        <v>11</v>
      </c>
      <c r="N69" s="109" t="s">
        <v>476</v>
      </c>
      <c r="O69" t="str">
        <f>IF(AND($L69&gt;=1, $L69&lt;=4), "1-4", "No")</f>
        <v>No</v>
      </c>
      <c r="P69" t="str">
        <f>IF(AND($L69&gt;=5, $L69&lt;=10), "5-10", "No")</f>
        <v>No</v>
      </c>
      <c r="Q69" t="str">
        <f>IF(AND($L69&gt;=11, $L69&lt;=20), "11-20", "No")</f>
        <v>No</v>
      </c>
      <c r="R69" t="str">
        <f>IF(AND($L69&gt;=20, $L69&lt;=30), "20-30", "No")</f>
        <v>No</v>
      </c>
      <c r="S69" t="str">
        <f>IF(AND($L69&gt;=30, $L69&lt;=999), "&gt;30", "No")</f>
        <v>&gt;30</v>
      </c>
      <c r="T69" t="str">
        <f>IF(AND($H69&gt;=1, $H69&lt;=6), "1-4", "No")</f>
        <v>No</v>
      </c>
      <c r="U69" t="str">
        <f>IF(AND($H69&gt;=5, $H69&lt;=10), "5-10", "No")</f>
        <v>5-10</v>
      </c>
      <c r="V69" t="str">
        <f>IF(AND($H69&gt;=11, $H69&lt;=12), "11-12", "No")</f>
        <v>No</v>
      </c>
      <c r="W69" t="str">
        <f>IF(AND($F69&gt;=0, $F69&lt;=117), "0-117", "No")</f>
        <v>No</v>
      </c>
      <c r="X69" t="str">
        <f>IF(AND($F69&gt;=118, $F69&lt;=127), "118-127", "No")</f>
        <v>118-127</v>
      </c>
      <c r="Y69" t="str">
        <f>IF(AND($F69&gt;=128, $F69&lt;=999), "&gt;128", "No")</f>
        <v>No</v>
      </c>
      <c r="Z69" t="str">
        <f t="shared" si="12"/>
        <v>No</v>
      </c>
      <c r="AA69" t="str">
        <f t="shared" si="13"/>
        <v>No</v>
      </c>
      <c r="AB69" t="str">
        <f t="shared" si="14"/>
        <v>No</v>
      </c>
      <c r="AC69" t="str">
        <f t="shared" si="15"/>
        <v>No</v>
      </c>
      <c r="AD69" t="str">
        <f t="shared" si="16"/>
        <v>No</v>
      </c>
      <c r="AE69" t="str">
        <f t="shared" si="17"/>
        <v>No</v>
      </c>
      <c r="AF69" t="str">
        <f t="shared" si="18"/>
        <v>No</v>
      </c>
      <c r="AG69" t="str">
        <f t="shared" si="19"/>
        <v>No</v>
      </c>
      <c r="AH69" t="str">
        <f t="shared" si="20"/>
        <v>No</v>
      </c>
      <c r="AI69" t="str">
        <f t="shared" si="21"/>
        <v>No</v>
      </c>
      <c r="AJ69" t="str">
        <f t="shared" si="22"/>
        <v>No</v>
      </c>
      <c r="AK69" t="str">
        <f t="shared" si="23"/>
        <v>No</v>
      </c>
      <c r="AL69" t="str">
        <f t="shared" si="24"/>
        <v>No</v>
      </c>
      <c r="AM69" t="str">
        <f t="shared" si="25"/>
        <v>Yes</v>
      </c>
      <c r="AN69" t="str">
        <f t="shared" si="26"/>
        <v>No</v>
      </c>
      <c r="AP69" t="str">
        <f t="shared" si="27"/>
        <v>No</v>
      </c>
      <c r="AQ69" t="str">
        <f t="shared" si="28"/>
        <v>No</v>
      </c>
      <c r="AR69" t="str">
        <f t="shared" si="29"/>
        <v>No</v>
      </c>
      <c r="AS69" t="str">
        <f t="shared" si="30"/>
        <v>No</v>
      </c>
      <c r="AT69" t="str">
        <f t="shared" si="31"/>
        <v>No</v>
      </c>
      <c r="AU69" t="str">
        <f t="shared" si="32"/>
        <v>No</v>
      </c>
      <c r="AV69" t="str">
        <f t="shared" si="33"/>
        <v>No</v>
      </c>
      <c r="AW69" t="str">
        <f t="shared" si="34"/>
        <v>No</v>
      </c>
      <c r="AX69" t="str">
        <f t="shared" si="35"/>
        <v>No</v>
      </c>
      <c r="AY69" t="str">
        <f t="shared" si="36"/>
        <v>No</v>
      </c>
      <c r="AZ69" t="str">
        <f t="shared" si="37"/>
        <v>No</v>
      </c>
      <c r="BA69" t="str">
        <f t="shared" si="38"/>
        <v>No</v>
      </c>
      <c r="BB69" t="str">
        <f t="shared" si="39"/>
        <v>No</v>
      </c>
      <c r="BC69" t="str">
        <f t="shared" si="40"/>
        <v>Yes</v>
      </c>
      <c r="BD69" t="str">
        <f t="shared" si="41"/>
        <v>No</v>
      </c>
      <c r="BF69" t="str">
        <f t="shared" si="42"/>
        <v>No</v>
      </c>
      <c r="BG69" t="str">
        <f t="shared" si="43"/>
        <v>No</v>
      </c>
      <c r="BH69" t="str">
        <f t="shared" si="44"/>
        <v>No</v>
      </c>
      <c r="BI69" t="str">
        <f t="shared" si="45"/>
        <v>No</v>
      </c>
      <c r="BJ69" t="str">
        <f t="shared" si="46"/>
        <v>Yes</v>
      </c>
      <c r="BK69" t="str">
        <f t="shared" si="47"/>
        <v>No</v>
      </c>
      <c r="BL69" t="str">
        <f t="shared" si="48"/>
        <v>No</v>
      </c>
      <c r="BM69" t="str">
        <f t="shared" si="49"/>
        <v>No</v>
      </c>
      <c r="BN69" t="str">
        <f t="shared" si="50"/>
        <v>No</v>
      </c>
      <c r="BQ69" t="str">
        <f t="shared" si="51"/>
        <v>No</v>
      </c>
      <c r="BR69" t="str">
        <f t="shared" si="52"/>
        <v>No</v>
      </c>
      <c r="BS69" t="str">
        <f t="shared" si="53"/>
        <v>No</v>
      </c>
      <c r="BT69" t="str">
        <f t="shared" si="54"/>
        <v>No</v>
      </c>
      <c r="BU69" t="str">
        <f t="shared" si="55"/>
        <v>No</v>
      </c>
      <c r="BV69" t="str">
        <f t="shared" si="56"/>
        <v>No</v>
      </c>
      <c r="BW69" t="str">
        <f t="shared" si="57"/>
        <v>No</v>
      </c>
      <c r="BX69" t="str">
        <f t="shared" si="58"/>
        <v>No</v>
      </c>
      <c r="BY69" t="str">
        <f t="shared" si="59"/>
        <v>No</v>
      </c>
      <c r="BZ69" t="str">
        <f t="shared" si="60"/>
        <v>No</v>
      </c>
      <c r="CA69" t="str">
        <f t="shared" si="61"/>
        <v>No</v>
      </c>
      <c r="CB69" t="str">
        <f t="shared" si="62"/>
        <v>No</v>
      </c>
      <c r="CC69" t="str">
        <f t="shared" si="63"/>
        <v>No</v>
      </c>
      <c r="CD69" t="str">
        <f t="shared" si="64"/>
        <v>No</v>
      </c>
      <c r="CE69" t="str">
        <f t="shared" si="65"/>
        <v>No</v>
      </c>
      <c r="CF69" t="str">
        <f t="shared" si="66"/>
        <v>No</v>
      </c>
      <c r="CG69" t="str">
        <f t="shared" si="67"/>
        <v>No</v>
      </c>
      <c r="CH69" t="str">
        <f t="shared" si="68"/>
        <v>No</v>
      </c>
      <c r="CI69" t="str">
        <f t="shared" si="69"/>
        <v>No</v>
      </c>
      <c r="CJ69" t="str">
        <f t="shared" si="70"/>
        <v>No</v>
      </c>
      <c r="CK69" t="str">
        <f t="shared" si="71"/>
        <v>No</v>
      </c>
      <c r="CL69" t="str">
        <f t="shared" si="72"/>
        <v>No</v>
      </c>
      <c r="CM69" t="str">
        <f t="shared" si="73"/>
        <v>No</v>
      </c>
      <c r="CN69" t="str">
        <f t="shared" si="74"/>
        <v>No</v>
      </c>
      <c r="CO69" t="str">
        <f t="shared" si="75"/>
        <v>No</v>
      </c>
      <c r="CP69" t="str">
        <f t="shared" si="76"/>
        <v>No</v>
      </c>
      <c r="CQ69" t="str">
        <f t="shared" si="77"/>
        <v>No</v>
      </c>
      <c r="CR69" t="str">
        <f t="shared" si="78"/>
        <v>No</v>
      </c>
      <c r="CS69" t="str">
        <f t="shared" si="79"/>
        <v>No</v>
      </c>
      <c r="CT69" t="str">
        <f t="shared" si="80"/>
        <v>No</v>
      </c>
      <c r="CU69" t="str">
        <f t="shared" si="81"/>
        <v>No</v>
      </c>
      <c r="CV69" t="str">
        <f t="shared" si="82"/>
        <v>No</v>
      </c>
      <c r="CW69" t="str">
        <f t="shared" si="83"/>
        <v>No</v>
      </c>
      <c r="CX69" t="str">
        <f t="shared" si="84"/>
        <v>No</v>
      </c>
      <c r="CY69" t="str">
        <f t="shared" si="85"/>
        <v>No</v>
      </c>
      <c r="CZ69" t="str">
        <f t="shared" si="86"/>
        <v>No</v>
      </c>
      <c r="DA69" t="str">
        <f t="shared" si="87"/>
        <v>No</v>
      </c>
      <c r="DB69" t="str">
        <f t="shared" si="88"/>
        <v>No</v>
      </c>
      <c r="DC69" t="str">
        <f t="shared" si="89"/>
        <v>No</v>
      </c>
      <c r="DD69" t="str">
        <f t="shared" si="90"/>
        <v>No</v>
      </c>
      <c r="DE69" t="str">
        <f t="shared" si="91"/>
        <v>Yes</v>
      </c>
      <c r="DF69" t="str">
        <f t="shared" si="92"/>
        <v>No</v>
      </c>
      <c r="DG69" t="str">
        <f t="shared" si="93"/>
        <v>No</v>
      </c>
      <c r="DH69" t="str">
        <f t="shared" si="94"/>
        <v>No</v>
      </c>
      <c r="DI69" t="str">
        <f t="shared" si="95"/>
        <v>No</v>
      </c>
    </row>
    <row r="70" spans="1:113" x14ac:dyDescent="0.25">
      <c r="A70" s="109">
        <v>5</v>
      </c>
      <c r="B70" s="109">
        <v>8</v>
      </c>
      <c r="C70" s="109" t="s">
        <v>303</v>
      </c>
      <c r="D70" s="109" t="s">
        <v>80</v>
      </c>
      <c r="E70" s="109" t="s">
        <v>113</v>
      </c>
      <c r="F70" s="109">
        <v>120</v>
      </c>
      <c r="G70" s="109">
        <v>1203</v>
      </c>
      <c r="H70" s="109">
        <v>12</v>
      </c>
      <c r="I70" s="109">
        <v>38047</v>
      </c>
      <c r="J70" s="109" t="s">
        <v>304</v>
      </c>
      <c r="K70" s="109" t="s">
        <v>248</v>
      </c>
      <c r="L70" s="109">
        <v>5.0999999999999996</v>
      </c>
      <c r="M70" s="109">
        <f t="shared" si="99"/>
        <v>2</v>
      </c>
      <c r="N70" s="109" t="s">
        <v>476</v>
      </c>
    </row>
    <row r="71" spans="1:113" x14ac:dyDescent="0.25">
      <c r="A71" s="109">
        <v>6</v>
      </c>
      <c r="B71" s="109">
        <v>5</v>
      </c>
      <c r="C71" s="109" t="s">
        <v>305</v>
      </c>
      <c r="D71" s="109" t="s">
        <v>19</v>
      </c>
      <c r="E71" s="109" t="s">
        <v>20</v>
      </c>
      <c r="F71" s="109">
        <v>124</v>
      </c>
      <c r="G71" s="109">
        <v>1149</v>
      </c>
      <c r="H71" s="109">
        <v>3</v>
      </c>
      <c r="I71" s="109">
        <v>2</v>
      </c>
      <c r="J71" s="109" t="s">
        <v>306</v>
      </c>
      <c r="K71" s="109" t="s">
        <v>248</v>
      </c>
      <c r="L71" s="109">
        <v>5.3</v>
      </c>
      <c r="M71" s="109">
        <f t="shared" si="99"/>
        <v>3</v>
      </c>
      <c r="N71" s="109" t="s">
        <v>476</v>
      </c>
    </row>
    <row r="72" spans="1:113" x14ac:dyDescent="0.25">
      <c r="A72" s="109">
        <v>7</v>
      </c>
      <c r="B72" s="109">
        <v>4</v>
      </c>
      <c r="C72" s="109" t="s">
        <v>307</v>
      </c>
      <c r="D72" s="109" t="s">
        <v>33</v>
      </c>
      <c r="E72" s="109" t="s">
        <v>37</v>
      </c>
      <c r="F72" s="109">
        <v>128</v>
      </c>
      <c r="G72" s="109">
        <v>1013</v>
      </c>
      <c r="H72" s="109">
        <v>2</v>
      </c>
      <c r="I72" s="109">
        <v>38048</v>
      </c>
      <c r="J72" s="109" t="s">
        <v>308</v>
      </c>
      <c r="K72" s="109" t="s">
        <v>256</v>
      </c>
      <c r="L72" s="109">
        <v>9.3000000000000007</v>
      </c>
      <c r="M72" s="109">
        <f t="shared" si="99"/>
        <v>5</v>
      </c>
      <c r="N72" s="109" t="s">
        <v>476</v>
      </c>
    </row>
    <row r="73" spans="1:113" x14ac:dyDescent="0.25">
      <c r="A73" s="109">
        <v>8</v>
      </c>
      <c r="B73" s="109">
        <v>2</v>
      </c>
      <c r="C73" s="109" t="s">
        <v>309</v>
      </c>
      <c r="D73" s="109" t="s">
        <v>51</v>
      </c>
      <c r="E73" s="109" t="s">
        <v>71</v>
      </c>
      <c r="F73" s="109">
        <v>133</v>
      </c>
      <c r="G73" s="109">
        <v>1161</v>
      </c>
      <c r="H73" s="109">
        <v>5</v>
      </c>
      <c r="I73" s="109">
        <v>37989</v>
      </c>
      <c r="J73" s="109" t="s">
        <v>310</v>
      </c>
      <c r="K73" s="109" t="s">
        <v>190</v>
      </c>
      <c r="L73" s="109">
        <v>25</v>
      </c>
      <c r="M73" s="109">
        <f t="shared" si="99"/>
        <v>10</v>
      </c>
      <c r="N73" s="109" t="s">
        <v>476</v>
      </c>
    </row>
    <row r="74" spans="1:113" x14ac:dyDescent="0.25">
      <c r="A74" s="109">
        <v>9</v>
      </c>
      <c r="B74" s="109">
        <v>11</v>
      </c>
      <c r="C74" s="109" t="s">
        <v>311</v>
      </c>
      <c r="D74" s="109" t="s">
        <v>42</v>
      </c>
      <c r="E74" s="109" t="s">
        <v>107</v>
      </c>
      <c r="F74" s="109">
        <v>118</v>
      </c>
      <c r="G74" s="109">
        <v>1020</v>
      </c>
      <c r="H74" s="109">
        <v>4</v>
      </c>
      <c r="I74" s="109">
        <v>37990</v>
      </c>
      <c r="J74" s="109" t="s">
        <v>312</v>
      </c>
      <c r="K74" s="109" t="s">
        <v>197</v>
      </c>
      <c r="L74" s="109">
        <v>101</v>
      </c>
      <c r="M74" s="109">
        <f t="shared" si="99"/>
        <v>12</v>
      </c>
      <c r="N74" s="109" t="s">
        <v>476</v>
      </c>
    </row>
    <row r="75" spans="1:113" x14ac:dyDescent="0.25">
      <c r="A75" s="109">
        <v>10</v>
      </c>
      <c r="B75" s="109">
        <v>7</v>
      </c>
      <c r="C75" s="109" t="s">
        <v>313</v>
      </c>
      <c r="D75" s="109" t="s">
        <v>68</v>
      </c>
      <c r="E75" s="109" t="s">
        <v>24</v>
      </c>
      <c r="F75" s="109">
        <v>123</v>
      </c>
      <c r="G75" s="109">
        <v>1047</v>
      </c>
      <c r="H75" s="109">
        <v>7</v>
      </c>
      <c r="I75" s="109">
        <v>38050</v>
      </c>
      <c r="J75" s="109" t="s">
        <v>314</v>
      </c>
      <c r="K75" s="109" t="s">
        <v>315</v>
      </c>
      <c r="L75" s="109">
        <v>10</v>
      </c>
      <c r="M75" s="109">
        <f t="shared" si="99"/>
        <v>7</v>
      </c>
      <c r="N75" s="109" t="s">
        <v>476</v>
      </c>
    </row>
    <row r="76" spans="1:113" x14ac:dyDescent="0.25">
      <c r="A76" s="109">
        <v>11</v>
      </c>
      <c r="B76" s="109">
        <v>3</v>
      </c>
      <c r="C76" s="109" t="s">
        <v>316</v>
      </c>
      <c r="D76" s="109" t="s">
        <v>54</v>
      </c>
      <c r="E76" s="109" t="s">
        <v>49</v>
      </c>
      <c r="F76" s="109">
        <v>128</v>
      </c>
      <c r="G76" s="109">
        <v>1224</v>
      </c>
      <c r="H76" s="109">
        <v>1</v>
      </c>
      <c r="I76" s="109">
        <v>38053</v>
      </c>
      <c r="J76" s="109" t="s">
        <v>317</v>
      </c>
      <c r="K76" s="109" t="s">
        <v>265</v>
      </c>
      <c r="L76" s="109">
        <v>9.5</v>
      </c>
      <c r="M76" s="109">
        <f t="shared" si="99"/>
        <v>6</v>
      </c>
      <c r="N76" s="109" t="s">
        <v>476</v>
      </c>
    </row>
    <row r="77" spans="1:113" x14ac:dyDescent="0.25">
      <c r="A77" s="109">
        <v>12</v>
      </c>
      <c r="B77" s="109">
        <v>9</v>
      </c>
      <c r="C77" s="109" t="s">
        <v>318</v>
      </c>
      <c r="D77" s="109" t="s">
        <v>27</v>
      </c>
      <c r="E77" s="109" t="s">
        <v>66</v>
      </c>
      <c r="F77" s="109">
        <v>122</v>
      </c>
      <c r="G77" s="109">
        <v>1095</v>
      </c>
      <c r="H77" s="109">
        <v>11</v>
      </c>
      <c r="I77" s="109">
        <v>37996</v>
      </c>
      <c r="J77" s="109" t="s">
        <v>319</v>
      </c>
      <c r="K77" s="109" t="s">
        <v>320</v>
      </c>
      <c r="L77" s="109">
        <v>5</v>
      </c>
      <c r="M77" s="109">
        <f t="shared" si="99"/>
        <v>1</v>
      </c>
      <c r="N77" s="109" t="s">
        <v>476</v>
      </c>
    </row>
    <row r="78" spans="1:113" x14ac:dyDescent="0.25">
      <c r="M78" s="109" t="e">
        <f t="shared" si="99"/>
        <v>#N/A</v>
      </c>
      <c r="N78" s="109" t="s">
        <v>476</v>
      </c>
    </row>
    <row r="79" spans="1:113" x14ac:dyDescent="0.25">
      <c r="M79" s="109" t="e">
        <f t="shared" si="99"/>
        <v>#N/A</v>
      </c>
      <c r="N79" s="109" t="s">
        <v>476</v>
      </c>
    </row>
    <row r="80" spans="1:113" x14ac:dyDescent="0.25">
      <c r="A80" s="109" t="s">
        <v>0</v>
      </c>
      <c r="B80" s="109" t="s">
        <v>1</v>
      </c>
      <c r="C80" s="109" t="s">
        <v>2</v>
      </c>
      <c r="D80" s="109" t="s">
        <v>3</v>
      </c>
      <c r="E80" s="109" t="s">
        <v>4</v>
      </c>
      <c r="F80" s="109" t="s">
        <v>167</v>
      </c>
      <c r="G80" s="109" t="s">
        <v>168</v>
      </c>
      <c r="H80" s="109" t="s">
        <v>7</v>
      </c>
      <c r="I80" s="109" t="s">
        <v>169</v>
      </c>
      <c r="J80" s="109" t="s">
        <v>170</v>
      </c>
      <c r="K80" s="109" t="s">
        <v>171</v>
      </c>
      <c r="L80" s="109" t="s">
        <v>172</v>
      </c>
      <c r="M80" s="109" t="s">
        <v>467</v>
      </c>
      <c r="N80" s="109" t="s">
        <v>479</v>
      </c>
    </row>
    <row r="81" spans="1:113" x14ac:dyDescent="0.25">
      <c r="A81" s="109">
        <v>1</v>
      </c>
      <c r="B81" s="109">
        <v>1</v>
      </c>
      <c r="C81" s="109" t="s">
        <v>420</v>
      </c>
      <c r="D81" s="109" t="s">
        <v>36</v>
      </c>
      <c r="E81" s="109" t="s">
        <v>37</v>
      </c>
      <c r="F81" s="109">
        <v>135</v>
      </c>
      <c r="G81" s="109">
        <v>1208</v>
      </c>
      <c r="H81" s="109">
        <v>6</v>
      </c>
      <c r="I81" s="109" t="s">
        <v>21</v>
      </c>
      <c r="J81" s="109" t="s">
        <v>421</v>
      </c>
      <c r="K81" s="109" t="s">
        <v>422</v>
      </c>
      <c r="L81" s="109">
        <v>3.5</v>
      </c>
      <c r="M81" s="109">
        <f>RANK(L81, $L$81:$L$94,1)</f>
        <v>2</v>
      </c>
      <c r="N81" s="109" t="s">
        <v>475</v>
      </c>
      <c r="O81" t="str">
        <f>IF(AND($L81&gt;=1, $L81&lt;=4), "1-4", "No")</f>
        <v>1-4</v>
      </c>
      <c r="P81" t="str">
        <f>IF(AND($L81&gt;=5, $L81&lt;=10), "5-10", "No")</f>
        <v>No</v>
      </c>
      <c r="Q81" t="str">
        <f>IF(AND($L81&gt;=11, $L81&lt;=20), "11-20", "No")</f>
        <v>No</v>
      </c>
      <c r="R81" t="str">
        <f>IF(AND($L81&gt;=20, $L81&lt;=30), "20-30", "No")</f>
        <v>No</v>
      </c>
      <c r="S81" t="str">
        <f>IF(AND($L81&gt;=30, $L81&lt;=999), "&gt;30", "No")</f>
        <v>No</v>
      </c>
      <c r="T81" t="str">
        <f>IF(AND($H81&gt;=1, $H81&lt;=6), "1-4", "No")</f>
        <v>1-4</v>
      </c>
      <c r="U81" t="str">
        <f>IF(AND($H81&gt;=5, $H81&lt;=10), "5-10", "No")</f>
        <v>5-10</v>
      </c>
      <c r="V81" t="str">
        <f>IF(AND($H81&gt;=11, $H81&lt;=12), "11-12", "No")</f>
        <v>No</v>
      </c>
      <c r="W81" t="str">
        <f>IF(AND($F81&gt;=0, $F81&lt;=117), "0-117", "No")</f>
        <v>No</v>
      </c>
      <c r="X81" t="str">
        <f>IF(AND($F81&gt;=118, $F81&lt;=127), "118-127", "No")</f>
        <v>No</v>
      </c>
      <c r="Y81" t="str">
        <f>IF(AND($F81&gt;=128, $F81&lt;=999), "&gt;128", "No")</f>
        <v>&gt;128</v>
      </c>
      <c r="Z81" t="str">
        <f t="shared" ref="Z81:Z129" si="100">IF(AND($L81&gt;=1, $L81&lt;=4, $H81&gt;=1, $H81&lt;=4), "Yes", "No")</f>
        <v>No</v>
      </c>
      <c r="AA81" t="str">
        <f t="shared" ref="AA81:AA129" si="101">IF(AND($L81&gt;=1, $L81&lt;=4, $H81&gt;=5, $H81&lt;=10), "Yes", "No")</f>
        <v>Yes</v>
      </c>
      <c r="AB81" t="str">
        <f t="shared" ref="AB81:AB129" si="102">IF(AND($L81&gt;=1, $L81&lt;=4, $H81&gt;=11, $H81&lt;=12), "Yes", "No")</f>
        <v>No</v>
      </c>
      <c r="AC81" t="str">
        <f t="shared" ref="AC81:AC129" si="103">IF(AND($L81&gt;=4, $L81&lt;=10, $H81&gt;=1, $H81&lt;=4), "Yes", "No")</f>
        <v>No</v>
      </c>
      <c r="AD81" t="str">
        <f t="shared" ref="AD81:AD129" si="104">IF(AND($L81&gt;=4, $L81&lt;=10, $H81&gt;=5, $H81&lt;=10), "Yes", "No")</f>
        <v>No</v>
      </c>
      <c r="AE81" t="str">
        <f t="shared" ref="AE81:AE129" si="105">IF(AND($L81&gt;=4, $L81&lt;=10, $H81&gt;=11, $H81&lt;=12), "Yes", "No")</f>
        <v>No</v>
      </c>
      <c r="AF81" t="str">
        <f t="shared" ref="AF81:AF129" si="106">IF(AND($L81&gt;=10, $L81&lt;=20, $H81&gt;=1, $H81&lt;=4), "Yes", "No")</f>
        <v>No</v>
      </c>
      <c r="AG81" t="str">
        <f t="shared" ref="AG81:AG129" si="107">IF(AND($L81&gt;=10, $L81&lt;=20, $H81&gt;=5, $H81&lt;=10), "Yes", "No")</f>
        <v>No</v>
      </c>
      <c r="AH81" t="str">
        <f t="shared" ref="AH81:AH129" si="108">IF(AND($L81&gt;=10, $L81&lt;=20, $H81&gt;=11, $H81&lt;=12), "Yes", "No")</f>
        <v>No</v>
      </c>
      <c r="AI81" t="str">
        <f t="shared" ref="AI81:AI129" si="109">IF(AND($L81&gt;=20, $L81&lt;=30, $H81&gt;=1, $H81&lt;=4), "Yes", "No")</f>
        <v>No</v>
      </c>
      <c r="AJ81" t="str">
        <f t="shared" ref="AJ81:AJ129" si="110">IF(AND($L81&gt;=20, $L81&lt;=30, $H81&gt;=5, $H81&lt;=10), "Yes", "No")</f>
        <v>No</v>
      </c>
      <c r="AK81" t="str">
        <f t="shared" ref="AK81:AK129" si="111">IF(AND($L81&gt;=20, $L81&lt;=30, $H81&gt;=11, $H81&lt;=12), "Yes", "No")</f>
        <v>No</v>
      </c>
      <c r="AL81" t="str">
        <f t="shared" ref="AL81:AL129" si="112">IF(AND($L81&gt;=30, $L81&lt;=999, $H81&gt;=1, $H81&lt;=4), "Yes", "No")</f>
        <v>No</v>
      </c>
      <c r="AM81" t="str">
        <f t="shared" ref="AM81:AM129" si="113">IF(AND($L81&gt;=30, $L81&lt;=999, $H81&gt;=5, $H81&lt;=10), "Yes", "No")</f>
        <v>No</v>
      </c>
      <c r="AN81" t="str">
        <f t="shared" ref="AN81:AN129" si="114">IF(AND($L81&gt;=30, $L81&lt;=999, $H81&gt;=11, $H81&lt;=12), "Yes", "No")</f>
        <v>No</v>
      </c>
      <c r="AP81" t="str">
        <f t="shared" ref="AP70:AP133" si="115">IF(AND($L81&gt;=1, $L81&lt;=4, $F81&gt;=0, $F81&lt;=117), "Yes", "No")</f>
        <v>No</v>
      </c>
      <c r="AQ81" t="str">
        <f t="shared" ref="AQ70:AQ133" si="116">IF(AND($L81&gt;=1, $L81&lt;=4, $F81&gt;=118, $F81&lt;=127), "Yes", "No")</f>
        <v>No</v>
      </c>
      <c r="AR81" t="str">
        <f t="shared" ref="AR70:AR133" si="117">IF(AND($L81&gt;=1, $L81&lt;=4, $F81&gt;=128, $F81&lt;=200), "Yes", "No")</f>
        <v>Yes</v>
      </c>
      <c r="AS81" t="str">
        <f t="shared" ref="AS70:AS133" si="118">IF(AND($L81&gt;=4, $L81&lt;=10, $F81&gt;=0, $F81&lt;=117), "Yes", "No")</f>
        <v>No</v>
      </c>
      <c r="AT81" t="str">
        <f t="shared" ref="AT70:AT133" si="119">IF(AND($L81&gt;=4, $L81&lt;=10, $F81&gt;=118, $F81&lt;=127), "Yes", "No")</f>
        <v>No</v>
      </c>
      <c r="AU81" t="str">
        <f t="shared" ref="AU70:AU133" si="120">IF(AND($L81&gt;=4, $L81&lt;=10, $F81&gt;=128, $F81&lt;=200), "Yes", "No")</f>
        <v>No</v>
      </c>
      <c r="AV81" t="str">
        <f t="shared" ref="AV70:AV133" si="121">IF(AND($L81&gt;=10, $L81&lt;=20, $F81&gt;=0, $F81&lt;=117), "Yes", "No")</f>
        <v>No</v>
      </c>
      <c r="AW81" t="str">
        <f t="shared" ref="AW70:AW133" si="122">IF(AND($L81&gt;=10, $L81&lt;=20, $F81&gt;=118, $F81&lt;=127), "Yes", "No")</f>
        <v>No</v>
      </c>
      <c r="AX81" t="str">
        <f t="shared" ref="AX70:AX133" si="123">IF(AND($L81&gt;=10, $L81&lt;=20, $F81&gt;=128, $F81&lt;=200), "Yes", "No")</f>
        <v>No</v>
      </c>
      <c r="AY81" t="str">
        <f t="shared" ref="AY70:AY133" si="124">IF(AND($L81&gt;=20, $L81&lt;=30, $F81&gt;=0, $F81&lt;=117), "Yes", "No")</f>
        <v>No</v>
      </c>
      <c r="AZ81" t="str">
        <f t="shared" ref="AZ70:AZ133" si="125">IF(AND($L81&gt;=20, $L81&lt;=30, $F81&gt;=118, $F81&lt;=127), "Yes", "No")</f>
        <v>No</v>
      </c>
      <c r="BA81" t="str">
        <f t="shared" ref="BA70:BA133" si="126">IF(AND($L81&gt;=20, $L81&lt;=30, $F81&gt;=128, $F81&lt;=200), "Yes", "No")</f>
        <v>No</v>
      </c>
      <c r="BB81" t="str">
        <f t="shared" ref="BB70:BB133" si="127">IF(AND($L81&gt;=30, $L81&lt;=999, $F81&gt;=0, $F81&lt;=117), "Yes", "No")</f>
        <v>No</v>
      </c>
      <c r="BC81" t="str">
        <f t="shared" ref="BC70:BC133" si="128">IF(AND($L81&gt;=30, $L81&lt;=999, $F81&gt;=118, $F81&lt;=127), "Yes", "No")</f>
        <v>No</v>
      </c>
      <c r="BD81" t="str">
        <f t="shared" ref="BD70:BD133" si="129">IF(AND($L81&gt;=30, $L81&lt;=999, $F81&gt;=128, $F81&lt;=200), "Yes", "No")</f>
        <v>No</v>
      </c>
      <c r="BF81" t="str">
        <f t="shared" ref="BF81:BF129" si="130">IF(AND($H81&gt;=1, $H81&lt;=4, $F81&gt;=0, $F81&lt;=117), "Yes", "No")</f>
        <v>No</v>
      </c>
      <c r="BG81" t="str">
        <f t="shared" ref="BG81:BG129" si="131">IF(AND($H81&gt;=1, $H81&lt;=4, $F81&gt;=118, $F81&lt;=127), "Yes", "No")</f>
        <v>No</v>
      </c>
      <c r="BH81" t="str">
        <f t="shared" ref="BH81:BH129" si="132">IF(AND($H81&gt;=1, $H81&lt;=4, $F81&gt;=128, $F81&lt;=200), "Yes", "No")</f>
        <v>No</v>
      </c>
      <c r="BI81" t="str">
        <f t="shared" ref="BI81:BI129" si="133">IF(AND($H81&gt;=5, $H81&lt;=10, $F81&gt;=0, $F81&lt;=117), "Yes", "No")</f>
        <v>No</v>
      </c>
      <c r="BJ81" t="str">
        <f t="shared" ref="BJ81:BJ129" si="134">IF(AND($H81&gt;=5, $H81&lt;=10, $F81&gt;=118, $F81&lt;=127), "Yes", "No")</f>
        <v>No</v>
      </c>
      <c r="BK81" t="str">
        <f t="shared" ref="BK81:BK129" si="135">IF(AND($H81&gt;=5, $H81&lt;=10, $F81&gt;=128, $F81&lt;=200), "Yes", "No")</f>
        <v>Yes</v>
      </c>
      <c r="BL81" t="str">
        <f t="shared" ref="BL81:BL129" si="136">IF(AND($H81&gt;=11, $H81&lt;=12, $F81&gt;=0, $F81&lt;=117), "Yes", "No")</f>
        <v>No</v>
      </c>
      <c r="BM81" t="str">
        <f t="shared" ref="BM81:BM129" si="137">IF(AND($H81&gt;=11, $H81&lt;=12, $F81&gt;=118, $F81&lt;=127), "Yes", "No")</f>
        <v>No</v>
      </c>
      <c r="BN81" t="str">
        <f t="shared" ref="BN81:BN129" si="138">IF(AND($H81&gt;=11, $H81&lt;=12, $F81&gt;=128, $F81&lt;=200), "Yes", "No")</f>
        <v>No</v>
      </c>
      <c r="BQ81" t="str">
        <f t="shared" ref="BQ70:BQ133" si="139">IF(AND($L81&gt;=1, $L81&lt;=4, $H81&gt;=1, $H81&lt;=4,$F81&gt;=0,$F81&lt;=117), "Yes", "No")</f>
        <v>No</v>
      </c>
      <c r="BR81" t="str">
        <f t="shared" ref="BR70:BR133" si="140">IF(AND($L81&gt;=1, $L81&lt;=4, $H81&gt;=1, $H81&lt;=4,$F81&gt;=118, $F81&lt;=127), "Yes", "No")</f>
        <v>No</v>
      </c>
      <c r="BS81" t="str">
        <f t="shared" ref="BS70:BS133" si="141">IF(AND($L81&gt;=1, $L81&lt;=4, $H81&gt;=1, $H81&lt;=4,$F81&gt;=128, $F81&lt;=999), "Yes", "No")</f>
        <v>No</v>
      </c>
      <c r="BT81" t="str">
        <f t="shared" ref="BT70:BT133" si="142">IF(AND($L81&gt;=1, $L81&lt;=4, $H81&gt;=5, $H81&lt;=10,$F81&gt;=0,$F81&lt;=117), "Yes", "No")</f>
        <v>No</v>
      </c>
      <c r="BU81" t="str">
        <f t="shared" ref="BU70:BU133" si="143">IF(AND($L81&gt;=1, $L81&lt;=4, $H81&gt;=5, $H81&lt;=10,$F81&gt;=118, $F81&lt;=127), "Yes", "No")</f>
        <v>No</v>
      </c>
      <c r="BV81" t="str">
        <f t="shared" ref="BV70:BV133" si="144">IF(AND($L81&gt;=1, $L81&lt;=4, $H81&gt;=5, $H81&lt;=10,$F81&gt;=128, $F81&lt;=999), "Yes", "No")</f>
        <v>Yes</v>
      </c>
      <c r="BW81" t="str">
        <f t="shared" ref="BW70:BW133" si="145">IF(AND($L81&gt;=1, $L81&lt;=4, $H81&gt;=11, $H81&lt;=12,$F81&gt;=0,$F81&lt;=117), "Yes", "No")</f>
        <v>No</v>
      </c>
      <c r="BX81" t="str">
        <f t="shared" ref="BX70:BX133" si="146">IF(AND($L81&gt;=1, $L81&lt;=4, $H81&gt;=11, $H81&lt;=12,$F81&gt;=118, $F81&lt;=127), "Yes", "No")</f>
        <v>No</v>
      </c>
      <c r="BY81" t="str">
        <f t="shared" ref="BY70:BY133" si="147">IF(AND($L81&gt;=1, $L81&lt;=4, $H81&gt;=11, $H81&lt;=12,$F81&gt;=128, $F81&lt;=999), "Yes", "No")</f>
        <v>No</v>
      </c>
      <c r="BZ81" t="str">
        <f t="shared" ref="BZ70:BZ133" si="148">IF(AND($L81&gt;=5, $L81&lt;=10, $H81&gt;=1, $H81&lt;=4,$F81&gt;=0,$F81&lt;=117), "Yes", "No")</f>
        <v>No</v>
      </c>
      <c r="CA81" t="str">
        <f t="shared" ref="CA70:CA133" si="149">IF(AND($L81&gt;=5, $L81&lt;=10, $H81&gt;=1, $H81&lt;=4,$F81&gt;=118, $F81&lt;=127), "Yes", "No")</f>
        <v>No</v>
      </c>
      <c r="CB81" t="str">
        <f t="shared" ref="CB70:CB133" si="150">IF(AND($L81&gt;=5, $L81&lt;=10, $H81&gt;=1, $H81&lt;=4,$F81&gt;=128, $F81&lt;=999), "Yes", "No")</f>
        <v>No</v>
      </c>
      <c r="CC81" t="str">
        <f t="shared" ref="CC70:CC133" si="151">IF(AND($L81&gt;=5, $L81&lt;=10, $H81&gt;=5, $H81&lt;=10,$F81&gt;=0,$F81&lt;=117), "Yes", "No")</f>
        <v>No</v>
      </c>
      <c r="CD81" t="str">
        <f t="shared" ref="CD70:CD133" si="152">IF(AND($L81&gt;=5, $L81&lt;=10, $H81&gt;=5, $H81&lt;=10,$F81&gt;=118, $F81&lt;=127), "Yes", "No")</f>
        <v>No</v>
      </c>
      <c r="CE81" t="str">
        <f t="shared" ref="CE70:CE133" si="153">IF(AND($L81&gt;=5, $L81&lt;=10, $H81&gt;=5, $H81&lt;=10,$F81&gt;=128, $F81&lt;=999), "Yes", "No")</f>
        <v>No</v>
      </c>
      <c r="CF81" t="str">
        <f t="shared" ref="CF70:CF133" si="154">IF(AND($L81&gt;=5, $L81&lt;=10, $H81&gt;=11, $H81&lt;=12,$F81&gt;=0,$F81&lt;=117), "Yes", "No")</f>
        <v>No</v>
      </c>
      <c r="CG81" t="str">
        <f t="shared" ref="CG70:CG133" si="155">IF(AND($L81&gt;=5, $L81&lt;=10, $H81&gt;=11, $H81&lt;=12,$F81&gt;=118, $F81&lt;=127), "Yes", "No")</f>
        <v>No</v>
      </c>
      <c r="CH81" t="str">
        <f t="shared" ref="CH70:CH133" si="156">IF(AND($L81&gt;=5, $L81&lt;=10, $H81&gt;=11, $H81&lt;=12,$F81&gt;=128, $F81&lt;=999), "Yes", "No")</f>
        <v>No</v>
      </c>
      <c r="CI81" t="str">
        <f t="shared" ref="CI70:CI133" si="157">IF(AND($L81&gt;=11, $L81&lt;=20, $H81&gt;=1, $H81&lt;=4,$F81&gt;=0,$F81&lt;=117), "Yes", "No")</f>
        <v>No</v>
      </c>
      <c r="CJ81" t="str">
        <f t="shared" ref="CJ70:CJ133" si="158">IF(AND($L81&gt;=11, $L81&lt;=20, $H81&gt;=1, $H81&lt;=4,$F81&gt;=118, $F81&lt;=127), "Yes", "No")</f>
        <v>No</v>
      </c>
      <c r="CK81" t="str">
        <f t="shared" ref="CK70:CK133" si="159">IF(AND($L81&gt;=11, $L81&lt;=20, $H81&gt;=1, $H81&lt;=4,$F81&gt;=128, $F81&lt;=999), "Yes", "No")</f>
        <v>No</v>
      </c>
      <c r="CL81" t="str">
        <f t="shared" ref="CL70:CL133" si="160">IF(AND($L81&gt;=11, $L81&lt;=20, $H81&gt;=5, $H81&lt;=10,$F81&gt;=0,$F81&lt;=117), "Yes", "No")</f>
        <v>No</v>
      </c>
      <c r="CM81" t="str">
        <f t="shared" ref="CM70:CM133" si="161">IF(AND($L81&gt;=11, $L81&lt;=20, $H81&gt;=5, $H81&lt;=10,$F81&gt;=118, $F81&lt;=127), "Yes", "No")</f>
        <v>No</v>
      </c>
      <c r="CN81" t="str">
        <f t="shared" ref="CN70:CN133" si="162">IF(AND($L81&gt;=11, $L81&lt;=20, $H81&gt;=5, $H81&lt;=10,$F81&gt;=128, $F81&lt;=999), "Yes", "No")</f>
        <v>No</v>
      </c>
      <c r="CO81" t="str">
        <f t="shared" ref="CO70:CO133" si="163">IF(AND($L81&gt;=11, $L81&lt;=20,  $H81&gt;=11, $H81&lt;=12,$F81&gt;=0,$F81&lt;=117), "Yes", "No")</f>
        <v>No</v>
      </c>
      <c r="CP81" t="str">
        <f t="shared" ref="CP70:CP133" si="164">IF(AND($L81&gt;=11, $L81&lt;=20,  $H81&gt;=11, $H81&lt;=12,$F81&gt;=118, $F81&lt;=127), "Yes", "No")</f>
        <v>No</v>
      </c>
      <c r="CQ81" t="str">
        <f t="shared" ref="CQ70:CQ133" si="165">IF(AND($L81&gt;=11, $L81&lt;=20,  $H81&gt;=11, $H81&lt;=12,$F81&gt;=128, $F81&lt;=999), "Yes", "No")</f>
        <v>No</v>
      </c>
      <c r="CR81" t="str">
        <f t="shared" ref="CR70:CR133" si="166">IF(AND($L81&gt;=20, $L81&lt;=30, $H81&gt;=1, $H81&lt;=4,$F81&gt;=0,$F81&lt;=117), "Yes", "No")</f>
        <v>No</v>
      </c>
      <c r="CS81" t="str">
        <f t="shared" ref="CS70:CS133" si="167">IF(AND($L81&gt;=20, $L81&lt;=30, $H81&gt;=1, $H81&lt;=4,$F81&gt;=118, $F81&lt;=127), "Yes", "No")</f>
        <v>No</v>
      </c>
      <c r="CT81" t="str">
        <f t="shared" ref="CT70:CT133" si="168">IF(AND($L81&gt;=20, $L81&lt;=30, $H81&gt;=1, $H81&lt;=4,$F81&gt;=128, $F81&lt;=999), "Yes", "No")</f>
        <v>No</v>
      </c>
      <c r="CU81" t="str">
        <f t="shared" ref="CU70:CU133" si="169">IF(AND($L81&gt;=20, $L81&lt;=30, $H81&gt;=5, $H81&lt;=10,$F81&gt;=0,$F81&lt;=117), "Yes", "No")</f>
        <v>No</v>
      </c>
      <c r="CV81" t="str">
        <f t="shared" ref="CV70:CV133" si="170">IF(AND($L81&gt;=20, $L81&lt;=30, $H81&gt;=5, $H81&lt;=10,$F81&gt;=118, $F81&lt;=127), "Yes", "No")</f>
        <v>No</v>
      </c>
      <c r="CW81" t="str">
        <f t="shared" ref="CW70:CW133" si="171">IF(AND($L81&gt;=20, $L81&lt;=30, $H81&gt;=5, $H81&lt;=10,$F81&gt;=128, $F81&lt;=999), "Yes", "No")</f>
        <v>No</v>
      </c>
      <c r="CX81" t="str">
        <f t="shared" ref="CX70:CX133" si="172">IF(AND($L81&gt;=20, $L81&lt;=30, $H81&gt;=11, $H81&lt;=12,$F81&gt;=0,$F81&lt;=117), "Yes", "No")</f>
        <v>No</v>
      </c>
      <c r="CY81" t="str">
        <f t="shared" ref="CY70:CY133" si="173">IF(AND($L81&gt;=20, $L81&lt;=30, $H81&gt;=11, $H81&lt;=12,$F81&gt;=118, $F81&lt;=127), "Yes", "No")</f>
        <v>No</v>
      </c>
      <c r="CZ81" t="str">
        <f t="shared" ref="CZ70:CZ133" si="174">IF(AND($L81&gt;=20, $L81&lt;=30, $H81&gt;=11, $H81&lt;=12,$F81&gt;=128, $F81&lt;=999), "Yes", "No")</f>
        <v>No</v>
      </c>
      <c r="DA81" t="str">
        <f t="shared" ref="DA70:DA133" si="175">IF(AND($L81&gt;=30, $L81&lt;=999, $H81&gt;=1, $H81&lt;=4,$F81&gt;=0,$F81&lt;=117), "Yes", "No")</f>
        <v>No</v>
      </c>
      <c r="DB81" t="str">
        <f t="shared" ref="DB70:DB133" si="176">IF(AND($L81&gt;=30, $L81&lt;=999, $H81&gt;=1, $H81&lt;=4,$F81&gt;=118, $F81&lt;=127), "Yes", "No")</f>
        <v>No</v>
      </c>
      <c r="DC81" t="str">
        <f t="shared" ref="DC70:DC133" si="177">IF(AND($L81&gt;=30, $L81&lt;=999, $H81&gt;=1, $H81&lt;=4,$F81&gt;=128, $F81&lt;=999), "Yes", "No")</f>
        <v>No</v>
      </c>
      <c r="DD81" t="str">
        <f t="shared" ref="DD70:DD133" si="178">IF(AND($L81&gt;=30, $L81&lt;=999,  $H81&gt;=5, $H81&lt;=10,$F81&gt;=0,$F81&lt;=117), "Yes", "No")</f>
        <v>No</v>
      </c>
      <c r="DE81" t="str">
        <f t="shared" ref="DE70:DE133" si="179">IF(AND($L81&gt;=30, $L81&lt;=999,  $H81&gt;=5, $H81&lt;=10,$F81&gt;=118, $F81&lt;=127), "Yes", "No")</f>
        <v>No</v>
      </c>
      <c r="DF81" t="str">
        <f t="shared" ref="DF70:DF133" si="180">IF(AND($L81&gt;=30, $L81&lt;=999,  $H81&gt;=5, $H81&lt;=10,$F81&gt;=128, $F81&lt;=999), "Yes", "No")</f>
        <v>No</v>
      </c>
      <c r="DG81" t="str">
        <f t="shared" ref="DG70:DG133" si="181">IF(AND($L81&gt;=30, $L81&lt;=999, $H81&gt;=11, $H81&lt;=12,$F81&gt;=0,$F81&lt;=117), "Yes", "No")</f>
        <v>No</v>
      </c>
      <c r="DH81" t="str">
        <f t="shared" ref="DH70:DH133" si="182">IF(AND($L81&gt;=30, $L81&lt;=999,  $H81&gt;=11, $H81&lt;=12,$F81&gt;=118, $F81&lt;=127), "Yes", "No")</f>
        <v>No</v>
      </c>
      <c r="DI81" t="str">
        <f t="shared" ref="DI70:DI133" si="183">IF(AND($L81&gt;=30, $L81&lt;=999,  $H81&gt;=11, $H81&lt;=12,$F81&gt;=128, $F81&lt;=999), "Yes", "No")</f>
        <v>No</v>
      </c>
    </row>
    <row r="82" spans="1:113" x14ac:dyDescent="0.25">
      <c r="A82" s="109">
        <v>2</v>
      </c>
      <c r="B82" s="109">
        <v>5</v>
      </c>
      <c r="C82" s="109" t="s">
        <v>423</v>
      </c>
      <c r="D82" s="109" t="s">
        <v>39</v>
      </c>
      <c r="E82" s="109" t="s">
        <v>66</v>
      </c>
      <c r="F82" s="109">
        <v>128</v>
      </c>
      <c r="G82" s="109">
        <v>1092</v>
      </c>
      <c r="H82" s="109">
        <v>12</v>
      </c>
      <c r="I82" s="109">
        <v>1</v>
      </c>
      <c r="J82" s="109" t="s">
        <v>424</v>
      </c>
      <c r="K82" s="109" t="s">
        <v>425</v>
      </c>
      <c r="L82" s="109">
        <v>4</v>
      </c>
      <c r="M82" s="109">
        <f t="shared" ref="M82:M94" si="184">RANK(L82, $L$81:$L$94,1)</f>
        <v>3</v>
      </c>
      <c r="N82" s="109" t="s">
        <v>475</v>
      </c>
      <c r="O82" t="str">
        <f>IF(AND($L82&gt;=1, $L82&lt;=4), "1-4", "No")</f>
        <v>1-4</v>
      </c>
      <c r="P82" t="str">
        <f>IF(AND($L82&gt;=5, $L82&lt;=10), "5-10", "No")</f>
        <v>No</v>
      </c>
      <c r="Q82" t="str">
        <f>IF(AND($L82&gt;=11, $L82&lt;=20), "11-20", "No")</f>
        <v>No</v>
      </c>
      <c r="R82" t="str">
        <f>IF(AND($L82&gt;=20, $L82&lt;=30), "20-30", "No")</f>
        <v>No</v>
      </c>
      <c r="S82" t="str">
        <f>IF(AND($L82&gt;=30, $L82&lt;=999), "&gt;30", "No")</f>
        <v>No</v>
      </c>
      <c r="T82" t="str">
        <f>IF(AND($H82&gt;=1, $H82&lt;=6), "1-4", "No")</f>
        <v>No</v>
      </c>
      <c r="U82" t="str">
        <f>IF(AND($H82&gt;=5, $H82&lt;=10), "5-10", "No")</f>
        <v>No</v>
      </c>
      <c r="V82" t="str">
        <f>IF(AND($H82&gt;=11, $H82&lt;=12), "11-12", "No")</f>
        <v>11-12</v>
      </c>
      <c r="W82" t="str">
        <f>IF(AND($F82&gt;=0, $F82&lt;=117), "0-117", "No")</f>
        <v>No</v>
      </c>
      <c r="X82" t="str">
        <f>IF(AND($F82&gt;=118, $F82&lt;=127), "118-127", "No")</f>
        <v>No</v>
      </c>
      <c r="Y82" t="str">
        <f>IF(AND($F82&gt;=128, $F82&lt;=999), "&gt;128", "No")</f>
        <v>&gt;128</v>
      </c>
      <c r="Z82" t="str">
        <f t="shared" si="100"/>
        <v>No</v>
      </c>
      <c r="AA82" t="str">
        <f t="shared" si="101"/>
        <v>No</v>
      </c>
      <c r="AB82" t="str">
        <f t="shared" si="102"/>
        <v>Yes</v>
      </c>
      <c r="AC82" t="str">
        <f t="shared" si="103"/>
        <v>No</v>
      </c>
      <c r="AD82" t="str">
        <f t="shared" si="104"/>
        <v>No</v>
      </c>
      <c r="AE82" t="str">
        <f t="shared" si="105"/>
        <v>Yes</v>
      </c>
      <c r="AF82" t="str">
        <f t="shared" si="106"/>
        <v>No</v>
      </c>
      <c r="AG82" t="str">
        <f t="shared" si="107"/>
        <v>No</v>
      </c>
      <c r="AH82" t="str">
        <f t="shared" si="108"/>
        <v>No</v>
      </c>
      <c r="AI82" t="str">
        <f t="shared" si="109"/>
        <v>No</v>
      </c>
      <c r="AJ82" t="str">
        <f t="shared" si="110"/>
        <v>No</v>
      </c>
      <c r="AK82" t="str">
        <f t="shared" si="111"/>
        <v>No</v>
      </c>
      <c r="AL82" t="str">
        <f t="shared" si="112"/>
        <v>No</v>
      </c>
      <c r="AM82" t="str">
        <f t="shared" si="113"/>
        <v>No</v>
      </c>
      <c r="AN82" t="str">
        <f t="shared" si="114"/>
        <v>No</v>
      </c>
      <c r="AP82" t="str">
        <f t="shared" si="115"/>
        <v>No</v>
      </c>
      <c r="AQ82" t="str">
        <f t="shared" si="116"/>
        <v>No</v>
      </c>
      <c r="AR82" t="str">
        <f t="shared" si="117"/>
        <v>Yes</v>
      </c>
      <c r="AS82" t="str">
        <f t="shared" si="118"/>
        <v>No</v>
      </c>
      <c r="AT82" t="str">
        <f t="shared" si="119"/>
        <v>No</v>
      </c>
      <c r="AU82" t="str">
        <f t="shared" si="120"/>
        <v>Yes</v>
      </c>
      <c r="AV82" t="str">
        <f t="shared" si="121"/>
        <v>No</v>
      </c>
      <c r="AW82" t="str">
        <f t="shared" si="122"/>
        <v>No</v>
      </c>
      <c r="AX82" t="str">
        <f t="shared" si="123"/>
        <v>No</v>
      </c>
      <c r="AY82" t="str">
        <f t="shared" si="124"/>
        <v>No</v>
      </c>
      <c r="AZ82" t="str">
        <f t="shared" si="125"/>
        <v>No</v>
      </c>
      <c r="BA82" t="str">
        <f t="shared" si="126"/>
        <v>No</v>
      </c>
      <c r="BB82" t="str">
        <f t="shared" si="127"/>
        <v>No</v>
      </c>
      <c r="BC82" t="str">
        <f t="shared" si="128"/>
        <v>No</v>
      </c>
      <c r="BD82" t="str">
        <f t="shared" si="129"/>
        <v>No</v>
      </c>
      <c r="BF82" t="str">
        <f t="shared" si="130"/>
        <v>No</v>
      </c>
      <c r="BG82" t="str">
        <f t="shared" si="131"/>
        <v>No</v>
      </c>
      <c r="BH82" t="str">
        <f t="shared" si="132"/>
        <v>No</v>
      </c>
      <c r="BI82" t="str">
        <f t="shared" si="133"/>
        <v>No</v>
      </c>
      <c r="BJ82" t="str">
        <f t="shared" si="134"/>
        <v>No</v>
      </c>
      <c r="BK82" t="str">
        <f t="shared" si="135"/>
        <v>No</v>
      </c>
      <c r="BL82" t="str">
        <f t="shared" si="136"/>
        <v>No</v>
      </c>
      <c r="BM82" t="str">
        <f t="shared" si="137"/>
        <v>No</v>
      </c>
      <c r="BN82" t="str">
        <f t="shared" si="138"/>
        <v>Yes</v>
      </c>
      <c r="BQ82" t="str">
        <f t="shared" si="139"/>
        <v>No</v>
      </c>
      <c r="BR82" t="str">
        <f t="shared" si="140"/>
        <v>No</v>
      </c>
      <c r="BS82" t="str">
        <f t="shared" si="141"/>
        <v>No</v>
      </c>
      <c r="BT82" t="str">
        <f t="shared" si="142"/>
        <v>No</v>
      </c>
      <c r="BU82" t="str">
        <f t="shared" si="143"/>
        <v>No</v>
      </c>
      <c r="BV82" t="str">
        <f t="shared" si="144"/>
        <v>No</v>
      </c>
      <c r="BW82" t="str">
        <f t="shared" si="145"/>
        <v>No</v>
      </c>
      <c r="BX82" t="str">
        <f t="shared" si="146"/>
        <v>No</v>
      </c>
      <c r="BY82" t="str">
        <f t="shared" si="147"/>
        <v>Yes</v>
      </c>
      <c r="BZ82" t="str">
        <f t="shared" si="148"/>
        <v>No</v>
      </c>
      <c r="CA82" t="str">
        <f t="shared" si="149"/>
        <v>No</v>
      </c>
      <c r="CB82" t="str">
        <f t="shared" si="150"/>
        <v>No</v>
      </c>
      <c r="CC82" t="str">
        <f t="shared" si="151"/>
        <v>No</v>
      </c>
      <c r="CD82" t="str">
        <f t="shared" si="152"/>
        <v>No</v>
      </c>
      <c r="CE82" t="str">
        <f t="shared" si="153"/>
        <v>No</v>
      </c>
      <c r="CF82" t="str">
        <f t="shared" si="154"/>
        <v>No</v>
      </c>
      <c r="CG82" t="str">
        <f t="shared" si="155"/>
        <v>No</v>
      </c>
      <c r="CH82" t="str">
        <f t="shared" si="156"/>
        <v>No</v>
      </c>
      <c r="CI82" t="str">
        <f t="shared" si="157"/>
        <v>No</v>
      </c>
      <c r="CJ82" t="str">
        <f t="shared" si="158"/>
        <v>No</v>
      </c>
      <c r="CK82" t="str">
        <f t="shared" si="159"/>
        <v>No</v>
      </c>
      <c r="CL82" t="str">
        <f t="shared" si="160"/>
        <v>No</v>
      </c>
      <c r="CM82" t="str">
        <f t="shared" si="161"/>
        <v>No</v>
      </c>
      <c r="CN82" t="str">
        <f t="shared" si="162"/>
        <v>No</v>
      </c>
      <c r="CO82" t="str">
        <f t="shared" si="163"/>
        <v>No</v>
      </c>
      <c r="CP82" t="str">
        <f t="shared" si="164"/>
        <v>No</v>
      </c>
      <c r="CQ82" t="str">
        <f t="shared" si="165"/>
        <v>No</v>
      </c>
      <c r="CR82" t="str">
        <f t="shared" si="166"/>
        <v>No</v>
      </c>
      <c r="CS82" t="str">
        <f t="shared" si="167"/>
        <v>No</v>
      </c>
      <c r="CT82" t="str">
        <f t="shared" si="168"/>
        <v>No</v>
      </c>
      <c r="CU82" t="str">
        <f t="shared" si="169"/>
        <v>No</v>
      </c>
      <c r="CV82" t="str">
        <f t="shared" si="170"/>
        <v>No</v>
      </c>
      <c r="CW82" t="str">
        <f t="shared" si="171"/>
        <v>No</v>
      </c>
      <c r="CX82" t="str">
        <f t="shared" si="172"/>
        <v>No</v>
      </c>
      <c r="CY82" t="str">
        <f t="shared" si="173"/>
        <v>No</v>
      </c>
      <c r="CZ82" t="str">
        <f t="shared" si="174"/>
        <v>No</v>
      </c>
      <c r="DA82" t="str">
        <f t="shared" si="175"/>
        <v>No</v>
      </c>
      <c r="DB82" t="str">
        <f t="shared" si="176"/>
        <v>No</v>
      </c>
      <c r="DC82" t="str">
        <f t="shared" si="177"/>
        <v>No</v>
      </c>
      <c r="DD82" t="str">
        <f t="shared" si="178"/>
        <v>No</v>
      </c>
      <c r="DE82" t="str">
        <f t="shared" si="179"/>
        <v>No</v>
      </c>
      <c r="DF82" t="str">
        <f t="shared" si="180"/>
        <v>No</v>
      </c>
      <c r="DG82" t="str">
        <f t="shared" si="181"/>
        <v>No</v>
      </c>
      <c r="DH82" t="str">
        <f t="shared" si="182"/>
        <v>No</v>
      </c>
      <c r="DI82" t="str">
        <f t="shared" si="183"/>
        <v>No</v>
      </c>
    </row>
    <row r="83" spans="1:113" x14ac:dyDescent="0.25">
      <c r="A83" s="109">
        <v>3</v>
      </c>
      <c r="B83" s="109">
        <v>4</v>
      </c>
      <c r="C83" s="109" t="s">
        <v>426</v>
      </c>
      <c r="D83" s="109" t="s">
        <v>19</v>
      </c>
      <c r="E83" s="109" t="s">
        <v>92</v>
      </c>
      <c r="F83" s="109">
        <v>129</v>
      </c>
      <c r="G83" s="109">
        <v>1041</v>
      </c>
      <c r="H83" s="109">
        <v>3</v>
      </c>
      <c r="I83" s="109">
        <v>37987</v>
      </c>
      <c r="J83" s="109" t="s">
        <v>427</v>
      </c>
      <c r="K83" s="109" t="s">
        <v>428</v>
      </c>
      <c r="L83" s="109">
        <v>2.6</v>
      </c>
      <c r="M83" s="109">
        <f t="shared" si="184"/>
        <v>1</v>
      </c>
      <c r="N83" s="109" t="s">
        <v>475</v>
      </c>
      <c r="O83" t="str">
        <f>IF(AND($L83&gt;=1, $L83&lt;=4), "1-4", "No")</f>
        <v>1-4</v>
      </c>
      <c r="P83" t="str">
        <f>IF(AND($L83&gt;=5, $L83&lt;=10), "5-10", "No")</f>
        <v>No</v>
      </c>
      <c r="Q83" t="str">
        <f>IF(AND($L83&gt;=11, $L83&lt;=20), "11-20", "No")</f>
        <v>No</v>
      </c>
      <c r="R83" t="str">
        <f>IF(AND($L83&gt;=20, $L83&lt;=30), "20-30", "No")</f>
        <v>No</v>
      </c>
      <c r="S83" t="str">
        <f>IF(AND($L83&gt;=30, $L83&lt;=999), "&gt;30", "No")</f>
        <v>No</v>
      </c>
      <c r="T83" t="str">
        <f>IF(AND($H83&gt;=1, $H83&lt;=6), "1-4", "No")</f>
        <v>1-4</v>
      </c>
      <c r="U83" t="str">
        <f>IF(AND($H83&gt;=5, $H83&lt;=10), "5-10", "No")</f>
        <v>No</v>
      </c>
      <c r="V83" t="str">
        <f>IF(AND($H83&gt;=11, $H83&lt;=12), "11-12", "No")</f>
        <v>No</v>
      </c>
      <c r="W83" t="str">
        <f>IF(AND($F83&gt;=0, $F83&lt;=117), "0-117", "No")</f>
        <v>No</v>
      </c>
      <c r="X83" t="str">
        <f>IF(AND($F83&gt;=118, $F83&lt;=127), "118-127", "No")</f>
        <v>No</v>
      </c>
      <c r="Y83" t="str">
        <f>IF(AND($F83&gt;=128, $F83&lt;=999), "&gt;128", "No")</f>
        <v>&gt;128</v>
      </c>
      <c r="Z83" t="str">
        <f t="shared" si="100"/>
        <v>Yes</v>
      </c>
      <c r="AA83" t="str">
        <f t="shared" si="101"/>
        <v>No</v>
      </c>
      <c r="AB83" t="str">
        <f t="shared" si="102"/>
        <v>No</v>
      </c>
      <c r="AC83" t="str">
        <f t="shared" si="103"/>
        <v>No</v>
      </c>
      <c r="AD83" t="str">
        <f t="shared" si="104"/>
        <v>No</v>
      </c>
      <c r="AE83" t="str">
        <f t="shared" si="105"/>
        <v>No</v>
      </c>
      <c r="AF83" t="str">
        <f t="shared" si="106"/>
        <v>No</v>
      </c>
      <c r="AG83" t="str">
        <f t="shared" si="107"/>
        <v>No</v>
      </c>
      <c r="AH83" t="str">
        <f t="shared" si="108"/>
        <v>No</v>
      </c>
      <c r="AI83" t="str">
        <f t="shared" si="109"/>
        <v>No</v>
      </c>
      <c r="AJ83" t="str">
        <f t="shared" si="110"/>
        <v>No</v>
      </c>
      <c r="AK83" t="str">
        <f t="shared" si="111"/>
        <v>No</v>
      </c>
      <c r="AL83" t="str">
        <f t="shared" si="112"/>
        <v>No</v>
      </c>
      <c r="AM83" t="str">
        <f t="shared" si="113"/>
        <v>No</v>
      </c>
      <c r="AN83" t="str">
        <f t="shared" si="114"/>
        <v>No</v>
      </c>
      <c r="AP83" t="str">
        <f t="shared" si="115"/>
        <v>No</v>
      </c>
      <c r="AQ83" t="str">
        <f t="shared" si="116"/>
        <v>No</v>
      </c>
      <c r="AR83" t="str">
        <f t="shared" si="117"/>
        <v>Yes</v>
      </c>
      <c r="AS83" t="str">
        <f t="shared" si="118"/>
        <v>No</v>
      </c>
      <c r="AT83" t="str">
        <f t="shared" si="119"/>
        <v>No</v>
      </c>
      <c r="AU83" t="str">
        <f t="shared" si="120"/>
        <v>No</v>
      </c>
      <c r="AV83" t="str">
        <f t="shared" si="121"/>
        <v>No</v>
      </c>
      <c r="AW83" t="str">
        <f t="shared" si="122"/>
        <v>No</v>
      </c>
      <c r="AX83" t="str">
        <f t="shared" si="123"/>
        <v>No</v>
      </c>
      <c r="AY83" t="str">
        <f t="shared" si="124"/>
        <v>No</v>
      </c>
      <c r="AZ83" t="str">
        <f t="shared" si="125"/>
        <v>No</v>
      </c>
      <c r="BA83" t="str">
        <f t="shared" si="126"/>
        <v>No</v>
      </c>
      <c r="BB83" t="str">
        <f t="shared" si="127"/>
        <v>No</v>
      </c>
      <c r="BC83" t="str">
        <f t="shared" si="128"/>
        <v>No</v>
      </c>
      <c r="BD83" t="str">
        <f t="shared" si="129"/>
        <v>No</v>
      </c>
      <c r="BF83" t="str">
        <f t="shared" si="130"/>
        <v>No</v>
      </c>
      <c r="BG83" t="str">
        <f t="shared" si="131"/>
        <v>No</v>
      </c>
      <c r="BH83" t="str">
        <f t="shared" si="132"/>
        <v>Yes</v>
      </c>
      <c r="BI83" t="str">
        <f t="shared" si="133"/>
        <v>No</v>
      </c>
      <c r="BJ83" t="str">
        <f t="shared" si="134"/>
        <v>No</v>
      </c>
      <c r="BK83" t="str">
        <f t="shared" si="135"/>
        <v>No</v>
      </c>
      <c r="BL83" t="str">
        <f t="shared" si="136"/>
        <v>No</v>
      </c>
      <c r="BM83" t="str">
        <f t="shared" si="137"/>
        <v>No</v>
      </c>
      <c r="BN83" t="str">
        <f t="shared" si="138"/>
        <v>No</v>
      </c>
      <c r="BQ83" t="str">
        <f t="shared" si="139"/>
        <v>No</v>
      </c>
      <c r="BR83" t="str">
        <f t="shared" si="140"/>
        <v>No</v>
      </c>
      <c r="BS83" t="str">
        <f t="shared" si="141"/>
        <v>Yes</v>
      </c>
      <c r="BT83" t="str">
        <f t="shared" si="142"/>
        <v>No</v>
      </c>
      <c r="BU83" t="str">
        <f t="shared" si="143"/>
        <v>No</v>
      </c>
      <c r="BV83" t="str">
        <f t="shared" si="144"/>
        <v>No</v>
      </c>
      <c r="BW83" t="str">
        <f t="shared" si="145"/>
        <v>No</v>
      </c>
      <c r="BX83" t="str">
        <f t="shared" si="146"/>
        <v>No</v>
      </c>
      <c r="BY83" t="str">
        <f t="shared" si="147"/>
        <v>No</v>
      </c>
      <c r="BZ83" t="str">
        <f t="shared" si="148"/>
        <v>No</v>
      </c>
      <c r="CA83" t="str">
        <f t="shared" si="149"/>
        <v>No</v>
      </c>
      <c r="CB83" t="str">
        <f t="shared" si="150"/>
        <v>No</v>
      </c>
      <c r="CC83" t="str">
        <f t="shared" si="151"/>
        <v>No</v>
      </c>
      <c r="CD83" t="str">
        <f t="shared" si="152"/>
        <v>No</v>
      </c>
      <c r="CE83" t="str">
        <f t="shared" si="153"/>
        <v>No</v>
      </c>
      <c r="CF83" t="str">
        <f t="shared" si="154"/>
        <v>No</v>
      </c>
      <c r="CG83" t="str">
        <f t="shared" si="155"/>
        <v>No</v>
      </c>
      <c r="CH83" t="str">
        <f t="shared" si="156"/>
        <v>No</v>
      </c>
      <c r="CI83" t="str">
        <f t="shared" si="157"/>
        <v>No</v>
      </c>
      <c r="CJ83" t="str">
        <f t="shared" si="158"/>
        <v>No</v>
      </c>
      <c r="CK83" t="str">
        <f t="shared" si="159"/>
        <v>No</v>
      </c>
      <c r="CL83" t="str">
        <f t="shared" si="160"/>
        <v>No</v>
      </c>
      <c r="CM83" t="str">
        <f t="shared" si="161"/>
        <v>No</v>
      </c>
      <c r="CN83" t="str">
        <f t="shared" si="162"/>
        <v>No</v>
      </c>
      <c r="CO83" t="str">
        <f t="shared" si="163"/>
        <v>No</v>
      </c>
      <c r="CP83" t="str">
        <f t="shared" si="164"/>
        <v>No</v>
      </c>
      <c r="CQ83" t="str">
        <f t="shared" si="165"/>
        <v>No</v>
      </c>
      <c r="CR83" t="str">
        <f t="shared" si="166"/>
        <v>No</v>
      </c>
      <c r="CS83" t="str">
        <f t="shared" si="167"/>
        <v>No</v>
      </c>
      <c r="CT83" t="str">
        <f t="shared" si="168"/>
        <v>No</v>
      </c>
      <c r="CU83" t="str">
        <f t="shared" si="169"/>
        <v>No</v>
      </c>
      <c r="CV83" t="str">
        <f t="shared" si="170"/>
        <v>No</v>
      </c>
      <c r="CW83" t="str">
        <f t="shared" si="171"/>
        <v>No</v>
      </c>
      <c r="CX83" t="str">
        <f t="shared" si="172"/>
        <v>No</v>
      </c>
      <c r="CY83" t="str">
        <f t="shared" si="173"/>
        <v>No</v>
      </c>
      <c r="CZ83" t="str">
        <f t="shared" si="174"/>
        <v>No</v>
      </c>
      <c r="DA83" t="str">
        <f t="shared" si="175"/>
        <v>No</v>
      </c>
      <c r="DB83" t="str">
        <f t="shared" si="176"/>
        <v>No</v>
      </c>
      <c r="DC83" t="str">
        <f t="shared" si="177"/>
        <v>No</v>
      </c>
      <c r="DD83" t="str">
        <f t="shared" si="178"/>
        <v>No</v>
      </c>
      <c r="DE83" t="str">
        <f t="shared" si="179"/>
        <v>No</v>
      </c>
      <c r="DF83" t="str">
        <f t="shared" si="180"/>
        <v>No</v>
      </c>
      <c r="DG83" t="str">
        <f t="shared" si="181"/>
        <v>No</v>
      </c>
      <c r="DH83" t="str">
        <f t="shared" si="182"/>
        <v>No</v>
      </c>
      <c r="DI83" t="str">
        <f t="shared" si="183"/>
        <v>No</v>
      </c>
    </row>
    <row r="84" spans="1:113" x14ac:dyDescent="0.25">
      <c r="A84" s="109" t="s">
        <v>84</v>
      </c>
      <c r="B84" s="109">
        <v>12</v>
      </c>
      <c r="C84" s="109" t="s">
        <v>429</v>
      </c>
      <c r="D84" s="109" t="s">
        <v>27</v>
      </c>
      <c r="E84" s="109" t="s">
        <v>141</v>
      </c>
      <c r="F84" s="109">
        <v>118</v>
      </c>
      <c r="G84" s="109">
        <v>1210</v>
      </c>
      <c r="H84" s="109">
        <v>1</v>
      </c>
      <c r="I84" s="109">
        <v>37257</v>
      </c>
      <c r="J84" s="109" t="s">
        <v>430</v>
      </c>
      <c r="K84" s="109" t="s">
        <v>428</v>
      </c>
      <c r="L84" s="109">
        <v>8.4</v>
      </c>
      <c r="M84" s="109">
        <f t="shared" si="184"/>
        <v>4</v>
      </c>
      <c r="N84" s="109" t="s">
        <v>475</v>
      </c>
      <c r="O84" t="str">
        <f>IF(AND($L84&gt;=1, $L84&lt;=4), "1-4", "No")</f>
        <v>No</v>
      </c>
      <c r="P84" t="str">
        <f>IF(AND($L84&gt;=5, $L84&lt;=10), "5-10", "No")</f>
        <v>5-10</v>
      </c>
      <c r="Q84" t="str">
        <f>IF(AND($L84&gt;=11, $L84&lt;=20), "11-20", "No")</f>
        <v>No</v>
      </c>
      <c r="R84" t="str">
        <f>IF(AND($L84&gt;=20, $L84&lt;=30), "20-30", "No")</f>
        <v>No</v>
      </c>
      <c r="S84" t="str">
        <f>IF(AND($L84&gt;=30, $L84&lt;=999), "&gt;30", "No")</f>
        <v>No</v>
      </c>
      <c r="T84" t="str">
        <f>IF(AND($H84&gt;=1, $H84&lt;=6), "1-4", "No")</f>
        <v>1-4</v>
      </c>
      <c r="U84" t="str">
        <f>IF(AND($H84&gt;=5, $H84&lt;=10), "5-10", "No")</f>
        <v>No</v>
      </c>
      <c r="V84" t="str">
        <f>IF(AND($H84&gt;=11, $H84&lt;=12), "11-12", "No")</f>
        <v>No</v>
      </c>
      <c r="W84" t="str">
        <f>IF(AND($F84&gt;=0, $F84&lt;=117), "0-117", "No")</f>
        <v>No</v>
      </c>
      <c r="X84" t="str">
        <f>IF(AND($F84&gt;=118, $F84&lt;=127), "118-127", "No")</f>
        <v>118-127</v>
      </c>
      <c r="Y84" t="str">
        <f>IF(AND($F84&gt;=128, $F84&lt;=999), "&gt;128", "No")</f>
        <v>No</v>
      </c>
      <c r="Z84" t="str">
        <f t="shared" si="100"/>
        <v>No</v>
      </c>
      <c r="AA84" t="str">
        <f t="shared" si="101"/>
        <v>No</v>
      </c>
      <c r="AB84" t="str">
        <f t="shared" si="102"/>
        <v>No</v>
      </c>
      <c r="AC84" t="str">
        <f t="shared" si="103"/>
        <v>Yes</v>
      </c>
      <c r="AD84" t="str">
        <f t="shared" si="104"/>
        <v>No</v>
      </c>
      <c r="AE84" t="str">
        <f t="shared" si="105"/>
        <v>No</v>
      </c>
      <c r="AF84" t="str">
        <f t="shared" si="106"/>
        <v>No</v>
      </c>
      <c r="AG84" t="str">
        <f t="shared" si="107"/>
        <v>No</v>
      </c>
      <c r="AH84" t="str">
        <f t="shared" si="108"/>
        <v>No</v>
      </c>
      <c r="AI84" t="str">
        <f t="shared" si="109"/>
        <v>No</v>
      </c>
      <c r="AJ84" t="str">
        <f t="shared" si="110"/>
        <v>No</v>
      </c>
      <c r="AK84" t="str">
        <f t="shared" si="111"/>
        <v>No</v>
      </c>
      <c r="AL84" t="str">
        <f t="shared" si="112"/>
        <v>No</v>
      </c>
      <c r="AM84" t="str">
        <f t="shared" si="113"/>
        <v>No</v>
      </c>
      <c r="AN84" t="str">
        <f t="shared" si="114"/>
        <v>No</v>
      </c>
      <c r="AP84" t="str">
        <f t="shared" si="115"/>
        <v>No</v>
      </c>
      <c r="AQ84" t="str">
        <f t="shared" si="116"/>
        <v>No</v>
      </c>
      <c r="AR84" t="str">
        <f t="shared" si="117"/>
        <v>No</v>
      </c>
      <c r="AS84" t="str">
        <f t="shared" si="118"/>
        <v>No</v>
      </c>
      <c r="AT84" t="str">
        <f t="shared" si="119"/>
        <v>Yes</v>
      </c>
      <c r="AU84" t="str">
        <f t="shared" si="120"/>
        <v>No</v>
      </c>
      <c r="AV84" t="str">
        <f t="shared" si="121"/>
        <v>No</v>
      </c>
      <c r="AW84" t="str">
        <f t="shared" si="122"/>
        <v>No</v>
      </c>
      <c r="AX84" t="str">
        <f t="shared" si="123"/>
        <v>No</v>
      </c>
      <c r="AY84" t="str">
        <f t="shared" si="124"/>
        <v>No</v>
      </c>
      <c r="AZ84" t="str">
        <f t="shared" si="125"/>
        <v>No</v>
      </c>
      <c r="BA84" t="str">
        <f t="shared" si="126"/>
        <v>No</v>
      </c>
      <c r="BB84" t="str">
        <f t="shared" si="127"/>
        <v>No</v>
      </c>
      <c r="BC84" t="str">
        <f t="shared" si="128"/>
        <v>No</v>
      </c>
      <c r="BD84" t="str">
        <f t="shared" si="129"/>
        <v>No</v>
      </c>
      <c r="BF84" t="str">
        <f t="shared" si="130"/>
        <v>No</v>
      </c>
      <c r="BG84" t="str">
        <f t="shared" si="131"/>
        <v>Yes</v>
      </c>
      <c r="BH84" t="str">
        <f t="shared" si="132"/>
        <v>No</v>
      </c>
      <c r="BI84" t="str">
        <f t="shared" si="133"/>
        <v>No</v>
      </c>
      <c r="BJ84" t="str">
        <f t="shared" si="134"/>
        <v>No</v>
      </c>
      <c r="BK84" t="str">
        <f t="shared" si="135"/>
        <v>No</v>
      </c>
      <c r="BL84" t="str">
        <f t="shared" si="136"/>
        <v>No</v>
      </c>
      <c r="BM84" t="str">
        <f t="shared" si="137"/>
        <v>No</v>
      </c>
      <c r="BN84" t="str">
        <f t="shared" si="138"/>
        <v>No</v>
      </c>
      <c r="BQ84" t="str">
        <f t="shared" si="139"/>
        <v>No</v>
      </c>
      <c r="BR84" t="str">
        <f t="shared" si="140"/>
        <v>No</v>
      </c>
      <c r="BS84" t="str">
        <f t="shared" si="141"/>
        <v>No</v>
      </c>
      <c r="BT84" t="str">
        <f t="shared" si="142"/>
        <v>No</v>
      </c>
      <c r="BU84" t="str">
        <f t="shared" si="143"/>
        <v>No</v>
      </c>
      <c r="BV84" t="str">
        <f t="shared" si="144"/>
        <v>No</v>
      </c>
      <c r="BW84" t="str">
        <f t="shared" si="145"/>
        <v>No</v>
      </c>
      <c r="BX84" t="str">
        <f t="shared" si="146"/>
        <v>No</v>
      </c>
      <c r="BY84" t="str">
        <f t="shared" si="147"/>
        <v>No</v>
      </c>
      <c r="BZ84" t="str">
        <f t="shared" si="148"/>
        <v>No</v>
      </c>
      <c r="CA84" t="str">
        <f t="shared" si="149"/>
        <v>Yes</v>
      </c>
      <c r="CB84" t="str">
        <f t="shared" si="150"/>
        <v>No</v>
      </c>
      <c r="CC84" t="str">
        <f t="shared" si="151"/>
        <v>No</v>
      </c>
      <c r="CD84" t="str">
        <f t="shared" si="152"/>
        <v>No</v>
      </c>
      <c r="CE84" t="str">
        <f t="shared" si="153"/>
        <v>No</v>
      </c>
      <c r="CF84" t="str">
        <f t="shared" si="154"/>
        <v>No</v>
      </c>
      <c r="CG84" t="str">
        <f t="shared" si="155"/>
        <v>No</v>
      </c>
      <c r="CH84" t="str">
        <f t="shared" si="156"/>
        <v>No</v>
      </c>
      <c r="CI84" t="str">
        <f t="shared" si="157"/>
        <v>No</v>
      </c>
      <c r="CJ84" t="str">
        <f t="shared" si="158"/>
        <v>No</v>
      </c>
      <c r="CK84" t="str">
        <f t="shared" si="159"/>
        <v>No</v>
      </c>
      <c r="CL84" t="str">
        <f t="shared" si="160"/>
        <v>No</v>
      </c>
      <c r="CM84" t="str">
        <f t="shared" si="161"/>
        <v>No</v>
      </c>
      <c r="CN84" t="str">
        <f t="shared" si="162"/>
        <v>No</v>
      </c>
      <c r="CO84" t="str">
        <f t="shared" si="163"/>
        <v>No</v>
      </c>
      <c r="CP84" t="str">
        <f t="shared" si="164"/>
        <v>No</v>
      </c>
      <c r="CQ84" t="str">
        <f t="shared" si="165"/>
        <v>No</v>
      </c>
      <c r="CR84" t="str">
        <f t="shared" si="166"/>
        <v>No</v>
      </c>
      <c r="CS84" t="str">
        <f t="shared" si="167"/>
        <v>No</v>
      </c>
      <c r="CT84" t="str">
        <f t="shared" si="168"/>
        <v>No</v>
      </c>
      <c r="CU84" t="str">
        <f t="shared" si="169"/>
        <v>No</v>
      </c>
      <c r="CV84" t="str">
        <f t="shared" si="170"/>
        <v>No</v>
      </c>
      <c r="CW84" t="str">
        <f t="shared" si="171"/>
        <v>No</v>
      </c>
      <c r="CX84" t="str">
        <f t="shared" si="172"/>
        <v>No</v>
      </c>
      <c r="CY84" t="str">
        <f t="shared" si="173"/>
        <v>No</v>
      </c>
      <c r="CZ84" t="str">
        <f t="shared" si="174"/>
        <v>No</v>
      </c>
      <c r="DA84" t="str">
        <f t="shared" si="175"/>
        <v>No</v>
      </c>
      <c r="DB84" t="str">
        <f t="shared" si="176"/>
        <v>No</v>
      </c>
      <c r="DC84" t="str">
        <f t="shared" si="177"/>
        <v>No</v>
      </c>
      <c r="DD84" t="str">
        <f t="shared" si="178"/>
        <v>No</v>
      </c>
      <c r="DE84" t="str">
        <f t="shared" si="179"/>
        <v>No</v>
      </c>
      <c r="DF84" t="str">
        <f t="shared" si="180"/>
        <v>No</v>
      </c>
      <c r="DG84" t="str">
        <f t="shared" si="181"/>
        <v>No</v>
      </c>
      <c r="DH84" t="str">
        <f t="shared" si="182"/>
        <v>No</v>
      </c>
      <c r="DI84" t="str">
        <f t="shared" si="183"/>
        <v>No</v>
      </c>
    </row>
    <row r="85" spans="1:113" x14ac:dyDescent="0.25">
      <c r="A85" s="109">
        <v>5</v>
      </c>
      <c r="B85" s="109">
        <v>6</v>
      </c>
      <c r="C85" s="109" t="s">
        <v>431</v>
      </c>
      <c r="D85" s="109" t="s">
        <v>70</v>
      </c>
      <c r="E85" s="109" t="s">
        <v>60</v>
      </c>
      <c r="F85" s="109">
        <v>126</v>
      </c>
      <c r="G85" s="109">
        <v>1057</v>
      </c>
      <c r="H85" s="109">
        <v>10</v>
      </c>
      <c r="I85" s="109">
        <v>37257</v>
      </c>
      <c r="J85" s="109" t="s">
        <v>432</v>
      </c>
      <c r="K85" s="109" t="s">
        <v>428</v>
      </c>
      <c r="L85" s="109">
        <v>44</v>
      </c>
      <c r="M85" s="109">
        <f t="shared" si="184"/>
        <v>8</v>
      </c>
      <c r="N85" s="109" t="s">
        <v>475</v>
      </c>
    </row>
    <row r="86" spans="1:113" x14ac:dyDescent="0.25">
      <c r="A86" s="109">
        <v>6</v>
      </c>
      <c r="B86" s="109">
        <v>3</v>
      </c>
      <c r="C86" s="109" t="s">
        <v>433</v>
      </c>
      <c r="D86" s="109" t="s">
        <v>51</v>
      </c>
      <c r="E86" s="109" t="s">
        <v>113</v>
      </c>
      <c r="F86" s="109">
        <v>131</v>
      </c>
      <c r="G86" s="109">
        <v>1159</v>
      </c>
      <c r="H86" s="109">
        <v>8</v>
      </c>
      <c r="I86" s="109">
        <v>37258</v>
      </c>
      <c r="J86" s="109" t="s">
        <v>434</v>
      </c>
      <c r="K86" s="109" t="s">
        <v>435</v>
      </c>
      <c r="L86" s="109">
        <v>42</v>
      </c>
      <c r="M86" s="109">
        <f t="shared" si="184"/>
        <v>7</v>
      </c>
      <c r="N86" s="109" t="s">
        <v>475</v>
      </c>
    </row>
    <row r="87" spans="1:113" x14ac:dyDescent="0.25">
      <c r="A87" s="109">
        <v>7</v>
      </c>
      <c r="B87" s="109">
        <v>9</v>
      </c>
      <c r="C87" s="109" t="s">
        <v>436</v>
      </c>
      <c r="D87" s="109" t="s">
        <v>413</v>
      </c>
      <c r="E87" s="109" t="s">
        <v>49</v>
      </c>
      <c r="F87" s="109">
        <v>116</v>
      </c>
      <c r="G87" s="109">
        <v>1095</v>
      </c>
      <c r="H87" s="109">
        <v>7</v>
      </c>
      <c r="I87" s="109">
        <v>37259</v>
      </c>
      <c r="J87" s="109" t="s">
        <v>437</v>
      </c>
      <c r="K87" s="109" t="s">
        <v>438</v>
      </c>
      <c r="L87" s="109">
        <v>19</v>
      </c>
      <c r="M87" s="109">
        <f t="shared" si="184"/>
        <v>5</v>
      </c>
      <c r="N87" s="109" t="s">
        <v>475</v>
      </c>
    </row>
    <row r="88" spans="1:113" x14ac:dyDescent="0.25">
      <c r="A88" s="109">
        <v>8</v>
      </c>
      <c r="B88" s="109">
        <v>2</v>
      </c>
      <c r="C88" s="109" t="s">
        <v>439</v>
      </c>
      <c r="D88" s="109" t="s">
        <v>48</v>
      </c>
      <c r="E88" s="109" t="s">
        <v>43</v>
      </c>
      <c r="F88" s="109">
        <v>133</v>
      </c>
      <c r="G88" s="109">
        <v>1168</v>
      </c>
      <c r="H88" s="109">
        <v>4</v>
      </c>
      <c r="I88" s="109">
        <v>37259</v>
      </c>
      <c r="J88" s="109" t="s">
        <v>440</v>
      </c>
      <c r="K88" s="109" t="s">
        <v>438</v>
      </c>
      <c r="L88" s="109">
        <v>96</v>
      </c>
      <c r="M88" s="109">
        <f t="shared" si="184"/>
        <v>11</v>
      </c>
      <c r="N88" s="109" t="s">
        <v>475</v>
      </c>
    </row>
    <row r="89" spans="1:113" x14ac:dyDescent="0.25">
      <c r="A89" s="109">
        <v>9</v>
      </c>
      <c r="B89" s="109">
        <v>11</v>
      </c>
      <c r="C89" s="109" t="s">
        <v>441</v>
      </c>
      <c r="D89" s="109" t="s">
        <v>76</v>
      </c>
      <c r="E89" s="109" t="s">
        <v>52</v>
      </c>
      <c r="F89" s="109">
        <v>120</v>
      </c>
      <c r="G89" s="109">
        <v>1180</v>
      </c>
      <c r="H89" s="109">
        <v>9</v>
      </c>
      <c r="I89" s="109">
        <v>38050</v>
      </c>
      <c r="J89" s="109" t="s">
        <v>442</v>
      </c>
      <c r="K89" s="109" t="s">
        <v>443</v>
      </c>
      <c r="L89" s="109">
        <v>27</v>
      </c>
      <c r="M89" s="109">
        <f t="shared" si="184"/>
        <v>6</v>
      </c>
      <c r="N89" s="109" t="s">
        <v>475</v>
      </c>
    </row>
    <row r="90" spans="1:113" x14ac:dyDescent="0.25">
      <c r="A90" s="109">
        <v>10</v>
      </c>
      <c r="B90" s="109">
        <v>8</v>
      </c>
      <c r="C90" s="109" t="s">
        <v>444</v>
      </c>
      <c r="D90" s="109" t="s">
        <v>45</v>
      </c>
      <c r="E90" s="109" t="s">
        <v>46</v>
      </c>
      <c r="F90" s="109">
        <v>114</v>
      </c>
      <c r="G90" s="109">
        <v>1165</v>
      </c>
      <c r="H90" s="109">
        <v>11</v>
      </c>
      <c r="I90" s="109">
        <v>37262</v>
      </c>
      <c r="J90" s="109" t="s">
        <v>445</v>
      </c>
      <c r="K90" s="109" t="s">
        <v>446</v>
      </c>
      <c r="L90" s="109">
        <v>49</v>
      </c>
      <c r="M90" s="109">
        <f t="shared" si="184"/>
        <v>9</v>
      </c>
      <c r="N90" s="109" t="s">
        <v>475</v>
      </c>
    </row>
    <row r="91" spans="1:113" x14ac:dyDescent="0.25">
      <c r="A91" s="109">
        <v>11</v>
      </c>
      <c r="B91" s="109">
        <v>10</v>
      </c>
      <c r="C91" s="109" t="s">
        <v>447</v>
      </c>
      <c r="D91" s="109" t="s">
        <v>418</v>
      </c>
      <c r="E91" s="109" t="s">
        <v>107</v>
      </c>
      <c r="F91" s="109">
        <v>120</v>
      </c>
      <c r="G91" s="109">
        <v>1147</v>
      </c>
      <c r="H91" s="109">
        <v>5</v>
      </c>
      <c r="I91" s="109">
        <v>37265</v>
      </c>
      <c r="J91" s="109" t="s">
        <v>448</v>
      </c>
      <c r="K91" s="109" t="s">
        <v>449</v>
      </c>
      <c r="L91" s="109">
        <v>122</v>
      </c>
      <c r="M91" s="109">
        <f t="shared" si="184"/>
        <v>12</v>
      </c>
      <c r="N91" s="109" t="s">
        <v>475</v>
      </c>
    </row>
    <row r="92" spans="1:113" x14ac:dyDescent="0.25">
      <c r="A92" s="109">
        <v>12</v>
      </c>
      <c r="B92" s="109">
        <v>7</v>
      </c>
      <c r="C92" s="109" t="s">
        <v>450</v>
      </c>
      <c r="D92" s="109" t="s">
        <v>68</v>
      </c>
      <c r="E92" s="109" t="s">
        <v>24</v>
      </c>
      <c r="F92" s="109">
        <v>126</v>
      </c>
      <c r="G92" s="109">
        <v>1011</v>
      </c>
      <c r="H92" s="109">
        <v>2</v>
      </c>
      <c r="I92" s="109">
        <v>38055</v>
      </c>
      <c r="J92" s="109" t="s">
        <v>451</v>
      </c>
      <c r="K92" s="109" t="s">
        <v>449</v>
      </c>
      <c r="L92" s="109">
        <v>78</v>
      </c>
      <c r="M92" s="109">
        <f t="shared" si="184"/>
        <v>10</v>
      </c>
      <c r="N92" s="109" t="s">
        <v>475</v>
      </c>
    </row>
    <row r="93" spans="1:113" x14ac:dyDescent="0.25">
      <c r="M93" s="109" t="e">
        <f t="shared" si="184"/>
        <v>#N/A</v>
      </c>
      <c r="N93" s="109" t="s">
        <v>475</v>
      </c>
    </row>
    <row r="94" spans="1:113" x14ac:dyDescent="0.25">
      <c r="M94" s="109" t="e">
        <f t="shared" si="184"/>
        <v>#N/A</v>
      </c>
      <c r="N94" s="109" t="s">
        <v>475</v>
      </c>
    </row>
    <row r="95" spans="1:113" x14ac:dyDescent="0.25">
      <c r="A95" s="109" t="s">
        <v>0</v>
      </c>
      <c r="B95" s="109" t="s">
        <v>1</v>
      </c>
      <c r="C95" s="109" t="s">
        <v>2</v>
      </c>
      <c r="D95" s="109" t="s">
        <v>3</v>
      </c>
      <c r="E95" s="109" t="s">
        <v>4</v>
      </c>
      <c r="F95" s="109" t="s">
        <v>167</v>
      </c>
      <c r="G95" s="109" t="s">
        <v>168</v>
      </c>
      <c r="H95" s="109" t="s">
        <v>7</v>
      </c>
      <c r="I95" s="109" t="s">
        <v>169</v>
      </c>
      <c r="J95" s="109" t="s">
        <v>170</v>
      </c>
      <c r="K95" s="109" t="s">
        <v>171</v>
      </c>
      <c r="L95" s="109" t="s">
        <v>172</v>
      </c>
      <c r="M95" s="109" t="s">
        <v>467</v>
      </c>
      <c r="N95" s="109" t="s">
        <v>479</v>
      </c>
    </row>
    <row r="96" spans="1:113" x14ac:dyDescent="0.25">
      <c r="A96" s="109">
        <v>1</v>
      </c>
      <c r="B96" s="109">
        <v>11</v>
      </c>
      <c r="C96" s="109" t="s">
        <v>321</v>
      </c>
      <c r="D96" s="109" t="s">
        <v>45</v>
      </c>
      <c r="E96" s="109" t="s">
        <v>113</v>
      </c>
      <c r="F96" s="109">
        <v>111</v>
      </c>
      <c r="G96" s="109">
        <v>1113</v>
      </c>
      <c r="H96" s="109">
        <v>9</v>
      </c>
      <c r="I96" s="109" t="s">
        <v>21</v>
      </c>
      <c r="J96" s="109" t="s">
        <v>322</v>
      </c>
      <c r="K96" s="109" t="s">
        <v>323</v>
      </c>
      <c r="L96" s="109">
        <v>8.1</v>
      </c>
      <c r="M96" s="109">
        <f>RANK(L96, $L$96:$L$109,1)</f>
        <v>4</v>
      </c>
      <c r="N96" s="109" t="s">
        <v>474</v>
      </c>
      <c r="O96" t="str">
        <f>IF(AND($L96&gt;=1, $L96&lt;=4), "1-4", "No")</f>
        <v>No</v>
      </c>
      <c r="P96" t="str">
        <f>IF(AND($L96&gt;=5, $L96&lt;=10), "5-10", "No")</f>
        <v>5-10</v>
      </c>
      <c r="Q96" t="str">
        <f>IF(AND($L96&gt;=11, $L96&lt;=20), "11-20", "No")</f>
        <v>No</v>
      </c>
      <c r="R96" t="str">
        <f>IF(AND($L96&gt;=20, $L96&lt;=30), "20-30", "No")</f>
        <v>No</v>
      </c>
      <c r="S96" t="str">
        <f>IF(AND($L96&gt;=30, $L96&lt;=999), "&gt;30", "No")</f>
        <v>No</v>
      </c>
      <c r="T96" t="str">
        <f>IF(AND($H96&gt;=1, $H96&lt;=6), "1-4", "No")</f>
        <v>No</v>
      </c>
      <c r="U96" t="str">
        <f>IF(AND($H96&gt;=5, $H96&lt;=10), "5-10", "No")</f>
        <v>5-10</v>
      </c>
      <c r="V96" t="str">
        <f>IF(AND($H96&gt;=11, $H96&lt;=12), "11-12", "No")</f>
        <v>No</v>
      </c>
      <c r="W96" t="str">
        <f>IF(AND($F96&gt;=0, $F96&lt;=117), "0-117", "No")</f>
        <v>0-117</v>
      </c>
      <c r="X96" t="str">
        <f>IF(AND($F96&gt;=118, $F96&lt;=127), "118-127", "No")</f>
        <v>No</v>
      </c>
      <c r="Y96" t="str">
        <f>IF(AND($F96&gt;=128, $F96&lt;=999), "&gt;128", "No")</f>
        <v>No</v>
      </c>
      <c r="Z96" t="str">
        <f t="shared" si="100"/>
        <v>No</v>
      </c>
      <c r="AA96" t="str">
        <f t="shared" si="101"/>
        <v>No</v>
      </c>
      <c r="AB96" t="str">
        <f t="shared" si="102"/>
        <v>No</v>
      </c>
      <c r="AC96" t="str">
        <f t="shared" si="103"/>
        <v>No</v>
      </c>
      <c r="AD96" t="str">
        <f t="shared" si="104"/>
        <v>Yes</v>
      </c>
      <c r="AE96" t="str">
        <f t="shared" si="105"/>
        <v>No</v>
      </c>
      <c r="AF96" t="str">
        <f t="shared" si="106"/>
        <v>No</v>
      </c>
      <c r="AG96" t="str">
        <f t="shared" si="107"/>
        <v>No</v>
      </c>
      <c r="AH96" t="str">
        <f t="shared" si="108"/>
        <v>No</v>
      </c>
      <c r="AI96" t="str">
        <f t="shared" si="109"/>
        <v>No</v>
      </c>
      <c r="AJ96" t="str">
        <f t="shared" si="110"/>
        <v>No</v>
      </c>
      <c r="AK96" t="str">
        <f t="shared" si="111"/>
        <v>No</v>
      </c>
      <c r="AL96" t="str">
        <f t="shared" si="112"/>
        <v>No</v>
      </c>
      <c r="AM96" t="str">
        <f t="shared" si="113"/>
        <v>No</v>
      </c>
      <c r="AN96" t="str">
        <f t="shared" si="114"/>
        <v>No</v>
      </c>
      <c r="AP96" t="str">
        <f t="shared" si="115"/>
        <v>No</v>
      </c>
      <c r="AQ96" t="str">
        <f t="shared" si="116"/>
        <v>No</v>
      </c>
      <c r="AR96" t="str">
        <f t="shared" si="117"/>
        <v>No</v>
      </c>
      <c r="AS96" t="str">
        <f t="shared" si="118"/>
        <v>Yes</v>
      </c>
      <c r="AT96" t="str">
        <f t="shared" si="119"/>
        <v>No</v>
      </c>
      <c r="AU96" t="str">
        <f t="shared" si="120"/>
        <v>No</v>
      </c>
      <c r="AV96" t="str">
        <f t="shared" si="121"/>
        <v>No</v>
      </c>
      <c r="AW96" t="str">
        <f t="shared" si="122"/>
        <v>No</v>
      </c>
      <c r="AX96" t="str">
        <f t="shared" si="123"/>
        <v>No</v>
      </c>
      <c r="AY96" t="str">
        <f t="shared" si="124"/>
        <v>No</v>
      </c>
      <c r="AZ96" t="str">
        <f t="shared" si="125"/>
        <v>No</v>
      </c>
      <c r="BA96" t="str">
        <f t="shared" si="126"/>
        <v>No</v>
      </c>
      <c r="BB96" t="str">
        <f t="shared" si="127"/>
        <v>No</v>
      </c>
      <c r="BC96" t="str">
        <f t="shared" si="128"/>
        <v>No</v>
      </c>
      <c r="BD96" t="str">
        <f t="shared" si="129"/>
        <v>No</v>
      </c>
      <c r="BF96" t="str">
        <f t="shared" si="130"/>
        <v>No</v>
      </c>
      <c r="BG96" t="str">
        <f t="shared" si="131"/>
        <v>No</v>
      </c>
      <c r="BH96" t="str">
        <f t="shared" si="132"/>
        <v>No</v>
      </c>
      <c r="BI96" t="str">
        <f t="shared" si="133"/>
        <v>Yes</v>
      </c>
      <c r="BJ96" t="str">
        <f t="shared" si="134"/>
        <v>No</v>
      </c>
      <c r="BK96" t="str">
        <f t="shared" si="135"/>
        <v>No</v>
      </c>
      <c r="BL96" t="str">
        <f t="shared" si="136"/>
        <v>No</v>
      </c>
      <c r="BM96" t="str">
        <f t="shared" si="137"/>
        <v>No</v>
      </c>
      <c r="BN96" t="str">
        <f t="shared" si="138"/>
        <v>No</v>
      </c>
      <c r="BQ96" t="str">
        <f t="shared" si="139"/>
        <v>No</v>
      </c>
      <c r="BR96" t="str">
        <f t="shared" si="140"/>
        <v>No</v>
      </c>
      <c r="BS96" t="str">
        <f t="shared" si="141"/>
        <v>No</v>
      </c>
      <c r="BT96" t="str">
        <f t="shared" si="142"/>
        <v>No</v>
      </c>
      <c r="BU96" t="str">
        <f t="shared" si="143"/>
        <v>No</v>
      </c>
      <c r="BV96" t="str">
        <f t="shared" si="144"/>
        <v>No</v>
      </c>
      <c r="BW96" t="str">
        <f t="shared" si="145"/>
        <v>No</v>
      </c>
      <c r="BX96" t="str">
        <f t="shared" si="146"/>
        <v>No</v>
      </c>
      <c r="BY96" t="str">
        <f t="shared" si="147"/>
        <v>No</v>
      </c>
      <c r="BZ96" t="str">
        <f t="shared" si="148"/>
        <v>No</v>
      </c>
      <c r="CA96" t="str">
        <f t="shared" si="149"/>
        <v>No</v>
      </c>
      <c r="CB96" t="str">
        <f t="shared" si="150"/>
        <v>No</v>
      </c>
      <c r="CC96" t="str">
        <f t="shared" si="151"/>
        <v>Yes</v>
      </c>
      <c r="CD96" t="str">
        <f t="shared" si="152"/>
        <v>No</v>
      </c>
      <c r="CE96" t="str">
        <f t="shared" si="153"/>
        <v>No</v>
      </c>
      <c r="CF96" t="str">
        <f t="shared" si="154"/>
        <v>No</v>
      </c>
      <c r="CG96" t="str">
        <f t="shared" si="155"/>
        <v>No</v>
      </c>
      <c r="CH96" t="str">
        <f t="shared" si="156"/>
        <v>No</v>
      </c>
      <c r="CI96" t="str">
        <f t="shared" si="157"/>
        <v>No</v>
      </c>
      <c r="CJ96" t="str">
        <f t="shared" si="158"/>
        <v>No</v>
      </c>
      <c r="CK96" t="str">
        <f t="shared" si="159"/>
        <v>No</v>
      </c>
      <c r="CL96" t="str">
        <f t="shared" si="160"/>
        <v>No</v>
      </c>
      <c r="CM96" t="str">
        <f t="shared" si="161"/>
        <v>No</v>
      </c>
      <c r="CN96" t="str">
        <f t="shared" si="162"/>
        <v>No</v>
      </c>
      <c r="CO96" t="str">
        <f t="shared" si="163"/>
        <v>No</v>
      </c>
      <c r="CP96" t="str">
        <f t="shared" si="164"/>
        <v>No</v>
      </c>
      <c r="CQ96" t="str">
        <f t="shared" si="165"/>
        <v>No</v>
      </c>
      <c r="CR96" t="str">
        <f t="shared" si="166"/>
        <v>No</v>
      </c>
      <c r="CS96" t="str">
        <f t="shared" si="167"/>
        <v>No</v>
      </c>
      <c r="CT96" t="str">
        <f t="shared" si="168"/>
        <v>No</v>
      </c>
      <c r="CU96" t="str">
        <f t="shared" si="169"/>
        <v>No</v>
      </c>
      <c r="CV96" t="str">
        <f t="shared" si="170"/>
        <v>No</v>
      </c>
      <c r="CW96" t="str">
        <f t="shared" si="171"/>
        <v>No</v>
      </c>
      <c r="CX96" t="str">
        <f t="shared" si="172"/>
        <v>No</v>
      </c>
      <c r="CY96" t="str">
        <f t="shared" si="173"/>
        <v>No</v>
      </c>
      <c r="CZ96" t="str">
        <f t="shared" si="174"/>
        <v>No</v>
      </c>
      <c r="DA96" t="str">
        <f t="shared" si="175"/>
        <v>No</v>
      </c>
      <c r="DB96" t="str">
        <f t="shared" si="176"/>
        <v>No</v>
      </c>
      <c r="DC96" t="str">
        <f t="shared" si="177"/>
        <v>No</v>
      </c>
      <c r="DD96" t="str">
        <f t="shared" si="178"/>
        <v>No</v>
      </c>
      <c r="DE96" t="str">
        <f t="shared" si="179"/>
        <v>No</v>
      </c>
      <c r="DF96" t="str">
        <f t="shared" si="180"/>
        <v>No</v>
      </c>
      <c r="DG96" t="str">
        <f t="shared" si="181"/>
        <v>No</v>
      </c>
      <c r="DH96" t="str">
        <f t="shared" si="182"/>
        <v>No</v>
      </c>
      <c r="DI96" t="str">
        <f t="shared" si="183"/>
        <v>No</v>
      </c>
    </row>
    <row r="97" spans="1:113" x14ac:dyDescent="0.25">
      <c r="A97" s="109">
        <v>2</v>
      </c>
      <c r="B97" s="109">
        <v>12</v>
      </c>
      <c r="C97" s="109" t="s">
        <v>324</v>
      </c>
      <c r="D97" s="109" t="s">
        <v>65</v>
      </c>
      <c r="E97" s="109" t="s">
        <v>46</v>
      </c>
      <c r="F97" s="109">
        <v>118</v>
      </c>
      <c r="G97" s="109">
        <v>1247</v>
      </c>
      <c r="H97" s="109">
        <v>6</v>
      </c>
      <c r="I97" s="109">
        <v>46054</v>
      </c>
      <c r="J97" s="109" t="s">
        <v>325</v>
      </c>
      <c r="K97" s="109" t="s">
        <v>208</v>
      </c>
      <c r="L97" s="109">
        <v>3.5</v>
      </c>
      <c r="M97" s="109">
        <f t="shared" ref="M97:M109" si="185">RANK(L97, $L$96:$L$109,1)</f>
        <v>1</v>
      </c>
      <c r="N97" s="109" t="s">
        <v>474</v>
      </c>
      <c r="O97" t="str">
        <f>IF(AND($L97&gt;=1, $L97&lt;=4), "1-4", "No")</f>
        <v>1-4</v>
      </c>
      <c r="P97" t="str">
        <f>IF(AND($L97&gt;=5, $L97&lt;=10), "5-10", "No")</f>
        <v>No</v>
      </c>
      <c r="Q97" t="str">
        <f>IF(AND($L97&gt;=11, $L97&lt;=20), "11-20", "No")</f>
        <v>No</v>
      </c>
      <c r="R97" t="str">
        <f>IF(AND($L97&gt;=20, $L97&lt;=30), "20-30", "No")</f>
        <v>No</v>
      </c>
      <c r="S97" t="str">
        <f>IF(AND($L97&gt;=30, $L97&lt;=999), "&gt;30", "No")</f>
        <v>No</v>
      </c>
      <c r="T97" t="str">
        <f>IF(AND($H97&gt;=1, $H97&lt;=6), "1-4", "No")</f>
        <v>1-4</v>
      </c>
      <c r="U97" t="str">
        <f>IF(AND($H97&gt;=5, $H97&lt;=10), "5-10", "No")</f>
        <v>5-10</v>
      </c>
      <c r="V97" t="str">
        <f>IF(AND($H97&gt;=11, $H97&lt;=12), "11-12", "No")</f>
        <v>No</v>
      </c>
      <c r="W97" t="str">
        <f>IF(AND($F97&gt;=0, $F97&lt;=117), "0-117", "No")</f>
        <v>No</v>
      </c>
      <c r="X97" t="str">
        <f>IF(AND($F97&gt;=118, $F97&lt;=127), "118-127", "No")</f>
        <v>118-127</v>
      </c>
      <c r="Y97" t="str">
        <f>IF(AND($F97&gt;=128, $F97&lt;=999), "&gt;128", "No")</f>
        <v>No</v>
      </c>
      <c r="Z97" t="str">
        <f t="shared" si="100"/>
        <v>No</v>
      </c>
      <c r="AA97" t="str">
        <f t="shared" si="101"/>
        <v>Yes</v>
      </c>
      <c r="AB97" t="str">
        <f t="shared" si="102"/>
        <v>No</v>
      </c>
      <c r="AC97" t="str">
        <f t="shared" si="103"/>
        <v>No</v>
      </c>
      <c r="AD97" t="str">
        <f t="shared" si="104"/>
        <v>No</v>
      </c>
      <c r="AE97" t="str">
        <f t="shared" si="105"/>
        <v>No</v>
      </c>
      <c r="AF97" t="str">
        <f t="shared" si="106"/>
        <v>No</v>
      </c>
      <c r="AG97" t="str">
        <f t="shared" si="107"/>
        <v>No</v>
      </c>
      <c r="AH97" t="str">
        <f t="shared" si="108"/>
        <v>No</v>
      </c>
      <c r="AI97" t="str">
        <f t="shared" si="109"/>
        <v>No</v>
      </c>
      <c r="AJ97" t="str">
        <f t="shared" si="110"/>
        <v>No</v>
      </c>
      <c r="AK97" t="str">
        <f t="shared" si="111"/>
        <v>No</v>
      </c>
      <c r="AL97" t="str">
        <f t="shared" si="112"/>
        <v>No</v>
      </c>
      <c r="AM97" t="str">
        <f t="shared" si="113"/>
        <v>No</v>
      </c>
      <c r="AN97" t="str">
        <f t="shared" si="114"/>
        <v>No</v>
      </c>
      <c r="AP97" t="str">
        <f t="shared" si="115"/>
        <v>No</v>
      </c>
      <c r="AQ97" t="str">
        <f t="shared" si="116"/>
        <v>Yes</v>
      </c>
      <c r="AR97" t="str">
        <f t="shared" si="117"/>
        <v>No</v>
      </c>
      <c r="AS97" t="str">
        <f t="shared" si="118"/>
        <v>No</v>
      </c>
      <c r="AT97" t="str">
        <f t="shared" si="119"/>
        <v>No</v>
      </c>
      <c r="AU97" t="str">
        <f t="shared" si="120"/>
        <v>No</v>
      </c>
      <c r="AV97" t="str">
        <f t="shared" si="121"/>
        <v>No</v>
      </c>
      <c r="AW97" t="str">
        <f t="shared" si="122"/>
        <v>No</v>
      </c>
      <c r="AX97" t="str">
        <f t="shared" si="123"/>
        <v>No</v>
      </c>
      <c r="AY97" t="str">
        <f t="shared" si="124"/>
        <v>No</v>
      </c>
      <c r="AZ97" t="str">
        <f t="shared" si="125"/>
        <v>No</v>
      </c>
      <c r="BA97" t="str">
        <f t="shared" si="126"/>
        <v>No</v>
      </c>
      <c r="BB97" t="str">
        <f t="shared" si="127"/>
        <v>No</v>
      </c>
      <c r="BC97" t="str">
        <f t="shared" si="128"/>
        <v>No</v>
      </c>
      <c r="BD97" t="str">
        <f t="shared" si="129"/>
        <v>No</v>
      </c>
      <c r="BF97" t="str">
        <f t="shared" si="130"/>
        <v>No</v>
      </c>
      <c r="BG97" t="str">
        <f t="shared" si="131"/>
        <v>No</v>
      </c>
      <c r="BH97" t="str">
        <f t="shared" si="132"/>
        <v>No</v>
      </c>
      <c r="BI97" t="str">
        <f t="shared" si="133"/>
        <v>No</v>
      </c>
      <c r="BJ97" t="str">
        <f t="shared" si="134"/>
        <v>Yes</v>
      </c>
      <c r="BK97" t="str">
        <f t="shared" si="135"/>
        <v>No</v>
      </c>
      <c r="BL97" t="str">
        <f t="shared" si="136"/>
        <v>No</v>
      </c>
      <c r="BM97" t="str">
        <f t="shared" si="137"/>
        <v>No</v>
      </c>
      <c r="BN97" t="str">
        <f t="shared" si="138"/>
        <v>No</v>
      </c>
      <c r="BQ97" t="str">
        <f t="shared" si="139"/>
        <v>No</v>
      </c>
      <c r="BR97" t="str">
        <f t="shared" si="140"/>
        <v>No</v>
      </c>
      <c r="BS97" t="str">
        <f t="shared" si="141"/>
        <v>No</v>
      </c>
      <c r="BT97" t="str">
        <f t="shared" si="142"/>
        <v>No</v>
      </c>
      <c r="BU97" t="str">
        <f t="shared" si="143"/>
        <v>Yes</v>
      </c>
      <c r="BV97" t="str">
        <f t="shared" si="144"/>
        <v>No</v>
      </c>
      <c r="BW97" t="str">
        <f t="shared" si="145"/>
        <v>No</v>
      </c>
      <c r="BX97" t="str">
        <f t="shared" si="146"/>
        <v>No</v>
      </c>
      <c r="BY97" t="str">
        <f t="shared" si="147"/>
        <v>No</v>
      </c>
      <c r="BZ97" t="str">
        <f t="shared" si="148"/>
        <v>No</v>
      </c>
      <c r="CA97" t="str">
        <f t="shared" si="149"/>
        <v>No</v>
      </c>
      <c r="CB97" t="str">
        <f t="shared" si="150"/>
        <v>No</v>
      </c>
      <c r="CC97" t="str">
        <f t="shared" si="151"/>
        <v>No</v>
      </c>
      <c r="CD97" t="str">
        <f t="shared" si="152"/>
        <v>No</v>
      </c>
      <c r="CE97" t="str">
        <f t="shared" si="153"/>
        <v>No</v>
      </c>
      <c r="CF97" t="str">
        <f t="shared" si="154"/>
        <v>No</v>
      </c>
      <c r="CG97" t="str">
        <f t="shared" si="155"/>
        <v>No</v>
      </c>
      <c r="CH97" t="str">
        <f t="shared" si="156"/>
        <v>No</v>
      </c>
      <c r="CI97" t="str">
        <f t="shared" si="157"/>
        <v>No</v>
      </c>
      <c r="CJ97" t="str">
        <f t="shared" si="158"/>
        <v>No</v>
      </c>
      <c r="CK97" t="str">
        <f t="shared" si="159"/>
        <v>No</v>
      </c>
      <c r="CL97" t="str">
        <f t="shared" si="160"/>
        <v>No</v>
      </c>
      <c r="CM97" t="str">
        <f t="shared" si="161"/>
        <v>No</v>
      </c>
      <c r="CN97" t="str">
        <f t="shared" si="162"/>
        <v>No</v>
      </c>
      <c r="CO97" t="str">
        <f t="shared" si="163"/>
        <v>No</v>
      </c>
      <c r="CP97" t="str">
        <f t="shared" si="164"/>
        <v>No</v>
      </c>
      <c r="CQ97" t="str">
        <f t="shared" si="165"/>
        <v>No</v>
      </c>
      <c r="CR97" t="str">
        <f t="shared" si="166"/>
        <v>No</v>
      </c>
      <c r="CS97" t="str">
        <f t="shared" si="167"/>
        <v>No</v>
      </c>
      <c r="CT97" t="str">
        <f t="shared" si="168"/>
        <v>No</v>
      </c>
      <c r="CU97" t="str">
        <f t="shared" si="169"/>
        <v>No</v>
      </c>
      <c r="CV97" t="str">
        <f t="shared" si="170"/>
        <v>No</v>
      </c>
      <c r="CW97" t="str">
        <f t="shared" si="171"/>
        <v>No</v>
      </c>
      <c r="CX97" t="str">
        <f t="shared" si="172"/>
        <v>No</v>
      </c>
      <c r="CY97" t="str">
        <f t="shared" si="173"/>
        <v>No</v>
      </c>
      <c r="CZ97" t="str">
        <f t="shared" si="174"/>
        <v>No</v>
      </c>
      <c r="DA97" t="str">
        <f t="shared" si="175"/>
        <v>No</v>
      </c>
      <c r="DB97" t="str">
        <f t="shared" si="176"/>
        <v>No</v>
      </c>
      <c r="DC97" t="str">
        <f t="shared" si="177"/>
        <v>No</v>
      </c>
      <c r="DD97" t="str">
        <f t="shared" si="178"/>
        <v>No</v>
      </c>
      <c r="DE97" t="str">
        <f t="shared" si="179"/>
        <v>No</v>
      </c>
      <c r="DF97" t="str">
        <f t="shared" si="180"/>
        <v>No</v>
      </c>
      <c r="DG97" t="str">
        <f t="shared" si="181"/>
        <v>No</v>
      </c>
      <c r="DH97" t="str">
        <f t="shared" si="182"/>
        <v>No</v>
      </c>
      <c r="DI97" t="str">
        <f t="shared" si="183"/>
        <v>No</v>
      </c>
    </row>
    <row r="98" spans="1:113" x14ac:dyDescent="0.25">
      <c r="A98" s="109">
        <v>3</v>
      </c>
      <c r="B98" s="109">
        <v>8</v>
      </c>
      <c r="C98" s="109" t="s">
        <v>326</v>
      </c>
      <c r="D98" s="109" t="s">
        <v>39</v>
      </c>
      <c r="E98" s="109" t="s">
        <v>40</v>
      </c>
      <c r="F98" s="109">
        <v>124</v>
      </c>
      <c r="G98" s="109">
        <v>1175</v>
      </c>
      <c r="H98" s="109">
        <v>2</v>
      </c>
      <c r="I98" s="109">
        <v>46054</v>
      </c>
      <c r="J98" s="109" t="s">
        <v>327</v>
      </c>
      <c r="K98" s="109" t="s">
        <v>208</v>
      </c>
      <c r="L98" s="109">
        <v>5.9</v>
      </c>
      <c r="M98" s="109">
        <f t="shared" si="185"/>
        <v>3</v>
      </c>
      <c r="N98" s="109" t="s">
        <v>474</v>
      </c>
      <c r="O98" t="str">
        <f>IF(AND($L98&gt;=1, $L98&lt;=4), "1-4", "No")</f>
        <v>No</v>
      </c>
      <c r="P98" t="str">
        <f>IF(AND($L98&gt;=5, $L98&lt;=10), "5-10", "No")</f>
        <v>5-10</v>
      </c>
      <c r="Q98" t="str">
        <f>IF(AND($L98&gt;=11, $L98&lt;=20), "11-20", "No")</f>
        <v>No</v>
      </c>
      <c r="R98" t="str">
        <f>IF(AND($L98&gt;=20, $L98&lt;=30), "20-30", "No")</f>
        <v>No</v>
      </c>
      <c r="S98" t="str">
        <f>IF(AND($L98&gt;=30, $L98&lt;=999), "&gt;30", "No")</f>
        <v>No</v>
      </c>
      <c r="T98" t="str">
        <f>IF(AND($H98&gt;=1, $H98&lt;=6), "1-4", "No")</f>
        <v>1-4</v>
      </c>
      <c r="U98" t="str">
        <f>IF(AND($H98&gt;=5, $H98&lt;=10), "5-10", "No")</f>
        <v>No</v>
      </c>
      <c r="V98" t="str">
        <f>IF(AND($H98&gt;=11, $H98&lt;=12), "11-12", "No")</f>
        <v>No</v>
      </c>
      <c r="W98" t="str">
        <f>IF(AND($F98&gt;=0, $F98&lt;=117), "0-117", "No")</f>
        <v>No</v>
      </c>
      <c r="X98" t="str">
        <f>IF(AND($F98&gt;=118, $F98&lt;=127), "118-127", "No")</f>
        <v>118-127</v>
      </c>
      <c r="Y98" t="str">
        <f>IF(AND($F98&gt;=128, $F98&lt;=999), "&gt;128", "No")</f>
        <v>No</v>
      </c>
      <c r="Z98" t="str">
        <f t="shared" si="100"/>
        <v>No</v>
      </c>
      <c r="AA98" t="str">
        <f t="shared" si="101"/>
        <v>No</v>
      </c>
      <c r="AB98" t="str">
        <f t="shared" si="102"/>
        <v>No</v>
      </c>
      <c r="AC98" t="str">
        <f t="shared" si="103"/>
        <v>Yes</v>
      </c>
      <c r="AD98" t="str">
        <f t="shared" si="104"/>
        <v>No</v>
      </c>
      <c r="AE98" t="str">
        <f t="shared" si="105"/>
        <v>No</v>
      </c>
      <c r="AF98" t="str">
        <f t="shared" si="106"/>
        <v>No</v>
      </c>
      <c r="AG98" t="str">
        <f t="shared" si="107"/>
        <v>No</v>
      </c>
      <c r="AH98" t="str">
        <f t="shared" si="108"/>
        <v>No</v>
      </c>
      <c r="AI98" t="str">
        <f t="shared" si="109"/>
        <v>No</v>
      </c>
      <c r="AJ98" t="str">
        <f t="shared" si="110"/>
        <v>No</v>
      </c>
      <c r="AK98" t="str">
        <f t="shared" si="111"/>
        <v>No</v>
      </c>
      <c r="AL98" t="str">
        <f t="shared" si="112"/>
        <v>No</v>
      </c>
      <c r="AM98" t="str">
        <f t="shared" si="113"/>
        <v>No</v>
      </c>
      <c r="AN98" t="str">
        <f t="shared" si="114"/>
        <v>No</v>
      </c>
      <c r="AP98" t="str">
        <f t="shared" si="115"/>
        <v>No</v>
      </c>
      <c r="AQ98" t="str">
        <f t="shared" si="116"/>
        <v>No</v>
      </c>
      <c r="AR98" t="str">
        <f t="shared" si="117"/>
        <v>No</v>
      </c>
      <c r="AS98" t="str">
        <f t="shared" si="118"/>
        <v>No</v>
      </c>
      <c r="AT98" t="str">
        <f t="shared" si="119"/>
        <v>Yes</v>
      </c>
      <c r="AU98" t="str">
        <f t="shared" si="120"/>
        <v>No</v>
      </c>
      <c r="AV98" t="str">
        <f t="shared" si="121"/>
        <v>No</v>
      </c>
      <c r="AW98" t="str">
        <f t="shared" si="122"/>
        <v>No</v>
      </c>
      <c r="AX98" t="str">
        <f t="shared" si="123"/>
        <v>No</v>
      </c>
      <c r="AY98" t="str">
        <f t="shared" si="124"/>
        <v>No</v>
      </c>
      <c r="AZ98" t="str">
        <f t="shared" si="125"/>
        <v>No</v>
      </c>
      <c r="BA98" t="str">
        <f t="shared" si="126"/>
        <v>No</v>
      </c>
      <c r="BB98" t="str">
        <f t="shared" si="127"/>
        <v>No</v>
      </c>
      <c r="BC98" t="str">
        <f t="shared" si="128"/>
        <v>No</v>
      </c>
      <c r="BD98" t="str">
        <f t="shared" si="129"/>
        <v>No</v>
      </c>
      <c r="BF98" t="str">
        <f t="shared" si="130"/>
        <v>No</v>
      </c>
      <c r="BG98" t="str">
        <f t="shared" si="131"/>
        <v>Yes</v>
      </c>
      <c r="BH98" t="str">
        <f t="shared" si="132"/>
        <v>No</v>
      </c>
      <c r="BI98" t="str">
        <f t="shared" si="133"/>
        <v>No</v>
      </c>
      <c r="BJ98" t="str">
        <f t="shared" si="134"/>
        <v>No</v>
      </c>
      <c r="BK98" t="str">
        <f t="shared" si="135"/>
        <v>No</v>
      </c>
      <c r="BL98" t="str">
        <f t="shared" si="136"/>
        <v>No</v>
      </c>
      <c r="BM98" t="str">
        <f t="shared" si="137"/>
        <v>No</v>
      </c>
      <c r="BN98" t="str">
        <f t="shared" si="138"/>
        <v>No</v>
      </c>
      <c r="BQ98" t="str">
        <f t="shared" si="139"/>
        <v>No</v>
      </c>
      <c r="BR98" t="str">
        <f t="shared" si="140"/>
        <v>No</v>
      </c>
      <c r="BS98" t="str">
        <f t="shared" si="141"/>
        <v>No</v>
      </c>
      <c r="BT98" t="str">
        <f t="shared" si="142"/>
        <v>No</v>
      </c>
      <c r="BU98" t="str">
        <f t="shared" si="143"/>
        <v>No</v>
      </c>
      <c r="BV98" t="str">
        <f t="shared" si="144"/>
        <v>No</v>
      </c>
      <c r="BW98" t="str">
        <f t="shared" si="145"/>
        <v>No</v>
      </c>
      <c r="BX98" t="str">
        <f t="shared" si="146"/>
        <v>No</v>
      </c>
      <c r="BY98" t="str">
        <f t="shared" si="147"/>
        <v>No</v>
      </c>
      <c r="BZ98" t="str">
        <f t="shared" si="148"/>
        <v>No</v>
      </c>
      <c r="CA98" t="str">
        <f t="shared" si="149"/>
        <v>Yes</v>
      </c>
      <c r="CB98" t="str">
        <f t="shared" si="150"/>
        <v>No</v>
      </c>
      <c r="CC98" t="str">
        <f t="shared" si="151"/>
        <v>No</v>
      </c>
      <c r="CD98" t="str">
        <f t="shared" si="152"/>
        <v>No</v>
      </c>
      <c r="CE98" t="str">
        <f t="shared" si="153"/>
        <v>No</v>
      </c>
      <c r="CF98" t="str">
        <f t="shared" si="154"/>
        <v>No</v>
      </c>
      <c r="CG98" t="str">
        <f t="shared" si="155"/>
        <v>No</v>
      </c>
      <c r="CH98" t="str">
        <f t="shared" si="156"/>
        <v>No</v>
      </c>
      <c r="CI98" t="str">
        <f t="shared" si="157"/>
        <v>No</v>
      </c>
      <c r="CJ98" t="str">
        <f t="shared" si="158"/>
        <v>No</v>
      </c>
      <c r="CK98" t="str">
        <f t="shared" si="159"/>
        <v>No</v>
      </c>
      <c r="CL98" t="str">
        <f t="shared" si="160"/>
        <v>No</v>
      </c>
      <c r="CM98" t="str">
        <f t="shared" si="161"/>
        <v>No</v>
      </c>
      <c r="CN98" t="str">
        <f t="shared" si="162"/>
        <v>No</v>
      </c>
      <c r="CO98" t="str">
        <f t="shared" si="163"/>
        <v>No</v>
      </c>
      <c r="CP98" t="str">
        <f t="shared" si="164"/>
        <v>No</v>
      </c>
      <c r="CQ98" t="str">
        <f t="shared" si="165"/>
        <v>No</v>
      </c>
      <c r="CR98" t="str">
        <f t="shared" si="166"/>
        <v>No</v>
      </c>
      <c r="CS98" t="str">
        <f t="shared" si="167"/>
        <v>No</v>
      </c>
      <c r="CT98" t="str">
        <f t="shared" si="168"/>
        <v>No</v>
      </c>
      <c r="CU98" t="str">
        <f t="shared" si="169"/>
        <v>No</v>
      </c>
      <c r="CV98" t="str">
        <f t="shared" si="170"/>
        <v>No</v>
      </c>
      <c r="CW98" t="str">
        <f t="shared" si="171"/>
        <v>No</v>
      </c>
      <c r="CX98" t="str">
        <f t="shared" si="172"/>
        <v>No</v>
      </c>
      <c r="CY98" t="str">
        <f t="shared" si="173"/>
        <v>No</v>
      </c>
      <c r="CZ98" t="str">
        <f t="shared" si="174"/>
        <v>No</v>
      </c>
      <c r="DA98" t="str">
        <f t="shared" si="175"/>
        <v>No</v>
      </c>
      <c r="DB98" t="str">
        <f t="shared" si="176"/>
        <v>No</v>
      </c>
      <c r="DC98" t="str">
        <f t="shared" si="177"/>
        <v>No</v>
      </c>
      <c r="DD98" t="str">
        <f t="shared" si="178"/>
        <v>No</v>
      </c>
      <c r="DE98" t="str">
        <f t="shared" si="179"/>
        <v>No</v>
      </c>
      <c r="DF98" t="str">
        <f t="shared" si="180"/>
        <v>No</v>
      </c>
      <c r="DG98" t="str">
        <f t="shared" si="181"/>
        <v>No</v>
      </c>
      <c r="DH98" t="str">
        <f t="shared" si="182"/>
        <v>No</v>
      </c>
      <c r="DI98" t="str">
        <f t="shared" si="183"/>
        <v>No</v>
      </c>
    </row>
    <row r="99" spans="1:113" x14ac:dyDescent="0.25">
      <c r="A99" s="109" t="s">
        <v>84</v>
      </c>
      <c r="B99" s="109">
        <v>1</v>
      </c>
      <c r="C99" s="109" t="s">
        <v>328</v>
      </c>
      <c r="D99" s="109" t="s">
        <v>19</v>
      </c>
      <c r="E99" s="109" t="s">
        <v>66</v>
      </c>
      <c r="F99" s="109">
        <v>132</v>
      </c>
      <c r="G99" s="109">
        <v>1121</v>
      </c>
      <c r="H99" s="109">
        <v>4</v>
      </c>
      <c r="I99" s="109">
        <v>37987</v>
      </c>
      <c r="J99" s="109" t="s">
        <v>329</v>
      </c>
      <c r="K99" s="109" t="s">
        <v>330</v>
      </c>
      <c r="L99" s="109">
        <v>5.6</v>
      </c>
      <c r="M99" s="109">
        <f t="shared" si="185"/>
        <v>2</v>
      </c>
      <c r="N99" s="109" t="s">
        <v>474</v>
      </c>
      <c r="O99" t="str">
        <f>IF(AND($L99&gt;=1, $L99&lt;=4), "1-4", "No")</f>
        <v>No</v>
      </c>
      <c r="P99" t="str">
        <f>IF(AND($L99&gt;=5, $L99&lt;=10), "5-10", "No")</f>
        <v>5-10</v>
      </c>
      <c r="Q99" t="str">
        <f>IF(AND($L99&gt;=11, $L99&lt;=20), "11-20", "No")</f>
        <v>No</v>
      </c>
      <c r="R99" t="str">
        <f>IF(AND($L99&gt;=20, $L99&lt;=30), "20-30", "No")</f>
        <v>No</v>
      </c>
      <c r="S99" t="str">
        <f>IF(AND($L99&gt;=30, $L99&lt;=999), "&gt;30", "No")</f>
        <v>No</v>
      </c>
      <c r="T99" t="str">
        <f>IF(AND($H99&gt;=1, $H99&lt;=6), "1-4", "No")</f>
        <v>1-4</v>
      </c>
      <c r="U99" t="str">
        <f>IF(AND($H99&gt;=5, $H99&lt;=10), "5-10", "No")</f>
        <v>No</v>
      </c>
      <c r="V99" t="str">
        <f>IF(AND($H99&gt;=11, $H99&lt;=12), "11-12", "No")</f>
        <v>No</v>
      </c>
      <c r="W99" t="str">
        <f>IF(AND($F99&gt;=0, $F99&lt;=117), "0-117", "No")</f>
        <v>No</v>
      </c>
      <c r="X99" t="str">
        <f>IF(AND($F99&gt;=118, $F99&lt;=127), "118-127", "No")</f>
        <v>No</v>
      </c>
      <c r="Y99" t="str">
        <f>IF(AND($F99&gt;=128, $F99&lt;=999), "&gt;128", "No")</f>
        <v>&gt;128</v>
      </c>
      <c r="Z99" t="str">
        <f t="shared" si="100"/>
        <v>No</v>
      </c>
      <c r="AA99" t="str">
        <f t="shared" si="101"/>
        <v>No</v>
      </c>
      <c r="AB99" t="str">
        <f t="shared" si="102"/>
        <v>No</v>
      </c>
      <c r="AC99" t="str">
        <f t="shared" si="103"/>
        <v>Yes</v>
      </c>
      <c r="AD99" t="str">
        <f t="shared" si="104"/>
        <v>No</v>
      </c>
      <c r="AE99" t="str">
        <f t="shared" si="105"/>
        <v>No</v>
      </c>
      <c r="AF99" t="str">
        <f t="shared" si="106"/>
        <v>No</v>
      </c>
      <c r="AG99" t="str">
        <f t="shared" si="107"/>
        <v>No</v>
      </c>
      <c r="AH99" t="str">
        <f t="shared" si="108"/>
        <v>No</v>
      </c>
      <c r="AI99" t="str">
        <f t="shared" si="109"/>
        <v>No</v>
      </c>
      <c r="AJ99" t="str">
        <f t="shared" si="110"/>
        <v>No</v>
      </c>
      <c r="AK99" t="str">
        <f t="shared" si="111"/>
        <v>No</v>
      </c>
      <c r="AL99" t="str">
        <f t="shared" si="112"/>
        <v>No</v>
      </c>
      <c r="AM99" t="str">
        <f t="shared" si="113"/>
        <v>No</v>
      </c>
      <c r="AN99" t="str">
        <f t="shared" si="114"/>
        <v>No</v>
      </c>
      <c r="AP99" t="str">
        <f t="shared" si="115"/>
        <v>No</v>
      </c>
      <c r="AQ99" t="str">
        <f t="shared" si="116"/>
        <v>No</v>
      </c>
      <c r="AR99" t="str">
        <f t="shared" si="117"/>
        <v>No</v>
      </c>
      <c r="AS99" t="str">
        <f t="shared" si="118"/>
        <v>No</v>
      </c>
      <c r="AT99" t="str">
        <f t="shared" si="119"/>
        <v>No</v>
      </c>
      <c r="AU99" t="str">
        <f t="shared" si="120"/>
        <v>Yes</v>
      </c>
      <c r="AV99" t="str">
        <f t="shared" si="121"/>
        <v>No</v>
      </c>
      <c r="AW99" t="str">
        <f t="shared" si="122"/>
        <v>No</v>
      </c>
      <c r="AX99" t="str">
        <f t="shared" si="123"/>
        <v>No</v>
      </c>
      <c r="AY99" t="str">
        <f t="shared" si="124"/>
        <v>No</v>
      </c>
      <c r="AZ99" t="str">
        <f t="shared" si="125"/>
        <v>No</v>
      </c>
      <c r="BA99" t="str">
        <f t="shared" si="126"/>
        <v>No</v>
      </c>
      <c r="BB99" t="str">
        <f t="shared" si="127"/>
        <v>No</v>
      </c>
      <c r="BC99" t="str">
        <f t="shared" si="128"/>
        <v>No</v>
      </c>
      <c r="BD99" t="str">
        <f t="shared" si="129"/>
        <v>No</v>
      </c>
      <c r="BF99" t="str">
        <f t="shared" si="130"/>
        <v>No</v>
      </c>
      <c r="BG99" t="str">
        <f t="shared" si="131"/>
        <v>No</v>
      </c>
      <c r="BH99" t="str">
        <f t="shared" si="132"/>
        <v>Yes</v>
      </c>
      <c r="BI99" t="str">
        <f t="shared" si="133"/>
        <v>No</v>
      </c>
      <c r="BJ99" t="str">
        <f t="shared" si="134"/>
        <v>No</v>
      </c>
      <c r="BK99" t="str">
        <f t="shared" si="135"/>
        <v>No</v>
      </c>
      <c r="BL99" t="str">
        <f t="shared" si="136"/>
        <v>No</v>
      </c>
      <c r="BM99" t="str">
        <f t="shared" si="137"/>
        <v>No</v>
      </c>
      <c r="BN99" t="str">
        <f t="shared" si="138"/>
        <v>No</v>
      </c>
      <c r="BQ99" t="str">
        <f t="shared" si="139"/>
        <v>No</v>
      </c>
      <c r="BR99" t="str">
        <f t="shared" si="140"/>
        <v>No</v>
      </c>
      <c r="BS99" t="str">
        <f t="shared" si="141"/>
        <v>No</v>
      </c>
      <c r="BT99" t="str">
        <f t="shared" si="142"/>
        <v>No</v>
      </c>
      <c r="BU99" t="str">
        <f t="shared" si="143"/>
        <v>No</v>
      </c>
      <c r="BV99" t="str">
        <f t="shared" si="144"/>
        <v>No</v>
      </c>
      <c r="BW99" t="str">
        <f t="shared" si="145"/>
        <v>No</v>
      </c>
      <c r="BX99" t="str">
        <f t="shared" si="146"/>
        <v>No</v>
      </c>
      <c r="BY99" t="str">
        <f t="shared" si="147"/>
        <v>No</v>
      </c>
      <c r="BZ99" t="str">
        <f t="shared" si="148"/>
        <v>No</v>
      </c>
      <c r="CA99" t="str">
        <f t="shared" si="149"/>
        <v>No</v>
      </c>
      <c r="CB99" t="str">
        <f t="shared" si="150"/>
        <v>Yes</v>
      </c>
      <c r="CC99" t="str">
        <f t="shared" si="151"/>
        <v>No</v>
      </c>
      <c r="CD99" t="str">
        <f t="shared" si="152"/>
        <v>No</v>
      </c>
      <c r="CE99" t="str">
        <f t="shared" si="153"/>
        <v>No</v>
      </c>
      <c r="CF99" t="str">
        <f t="shared" si="154"/>
        <v>No</v>
      </c>
      <c r="CG99" t="str">
        <f t="shared" si="155"/>
        <v>No</v>
      </c>
      <c r="CH99" t="str">
        <f t="shared" si="156"/>
        <v>No</v>
      </c>
      <c r="CI99" t="str">
        <f t="shared" si="157"/>
        <v>No</v>
      </c>
      <c r="CJ99" t="str">
        <f t="shared" si="158"/>
        <v>No</v>
      </c>
      <c r="CK99" t="str">
        <f t="shared" si="159"/>
        <v>No</v>
      </c>
      <c r="CL99" t="str">
        <f t="shared" si="160"/>
        <v>No</v>
      </c>
      <c r="CM99" t="str">
        <f t="shared" si="161"/>
        <v>No</v>
      </c>
      <c r="CN99" t="str">
        <f t="shared" si="162"/>
        <v>No</v>
      </c>
      <c r="CO99" t="str">
        <f t="shared" si="163"/>
        <v>No</v>
      </c>
      <c r="CP99" t="str">
        <f t="shared" si="164"/>
        <v>No</v>
      </c>
      <c r="CQ99" t="str">
        <f t="shared" si="165"/>
        <v>No</v>
      </c>
      <c r="CR99" t="str">
        <f t="shared" si="166"/>
        <v>No</v>
      </c>
      <c r="CS99" t="str">
        <f t="shared" si="167"/>
        <v>No</v>
      </c>
      <c r="CT99" t="str">
        <f t="shared" si="168"/>
        <v>No</v>
      </c>
      <c r="CU99" t="str">
        <f t="shared" si="169"/>
        <v>No</v>
      </c>
      <c r="CV99" t="str">
        <f t="shared" si="170"/>
        <v>No</v>
      </c>
      <c r="CW99" t="str">
        <f t="shared" si="171"/>
        <v>No</v>
      </c>
      <c r="CX99" t="str">
        <f t="shared" si="172"/>
        <v>No</v>
      </c>
      <c r="CY99" t="str">
        <f t="shared" si="173"/>
        <v>No</v>
      </c>
      <c r="CZ99" t="str">
        <f t="shared" si="174"/>
        <v>No</v>
      </c>
      <c r="DA99" t="str">
        <f t="shared" si="175"/>
        <v>No</v>
      </c>
      <c r="DB99" t="str">
        <f t="shared" si="176"/>
        <v>No</v>
      </c>
      <c r="DC99" t="str">
        <f t="shared" si="177"/>
        <v>No</v>
      </c>
      <c r="DD99" t="str">
        <f t="shared" si="178"/>
        <v>No</v>
      </c>
      <c r="DE99" t="str">
        <f t="shared" si="179"/>
        <v>No</v>
      </c>
      <c r="DF99" t="str">
        <f t="shared" si="180"/>
        <v>No</v>
      </c>
      <c r="DG99" t="str">
        <f t="shared" si="181"/>
        <v>No</v>
      </c>
      <c r="DH99" t="str">
        <f t="shared" si="182"/>
        <v>No</v>
      </c>
      <c r="DI99" t="str">
        <f t="shared" si="183"/>
        <v>No</v>
      </c>
    </row>
    <row r="100" spans="1:113" x14ac:dyDescent="0.25">
      <c r="A100" s="109">
        <v>5</v>
      </c>
      <c r="B100" s="109">
        <v>2</v>
      </c>
      <c r="C100" s="109" t="s">
        <v>331</v>
      </c>
      <c r="D100" s="109" t="s">
        <v>63</v>
      </c>
      <c r="E100" s="109" t="s">
        <v>74</v>
      </c>
      <c r="F100" s="109">
        <v>134</v>
      </c>
      <c r="G100" s="109">
        <v>1113</v>
      </c>
      <c r="H100" s="109">
        <v>3</v>
      </c>
      <c r="I100" s="109">
        <v>37987</v>
      </c>
      <c r="J100" s="109" t="s">
        <v>332</v>
      </c>
      <c r="K100" s="109" t="s">
        <v>330</v>
      </c>
      <c r="L100" s="109">
        <v>14</v>
      </c>
      <c r="M100" s="109">
        <f t="shared" si="185"/>
        <v>6</v>
      </c>
      <c r="N100" s="109" t="s">
        <v>474</v>
      </c>
    </row>
    <row r="101" spans="1:113" x14ac:dyDescent="0.25">
      <c r="A101" s="109">
        <v>6</v>
      </c>
      <c r="B101" s="109">
        <v>7</v>
      </c>
      <c r="C101" s="109" t="s">
        <v>333</v>
      </c>
      <c r="D101" s="109" t="s">
        <v>76</v>
      </c>
      <c r="E101" s="109" t="s">
        <v>28</v>
      </c>
      <c r="F101" s="109">
        <v>124</v>
      </c>
      <c r="G101" s="109">
        <v>1079</v>
      </c>
      <c r="H101" s="109">
        <v>11</v>
      </c>
      <c r="I101" s="109">
        <v>37257</v>
      </c>
      <c r="J101" s="109" t="s">
        <v>334</v>
      </c>
      <c r="K101" s="109" t="s">
        <v>335</v>
      </c>
      <c r="L101" s="109">
        <v>17</v>
      </c>
      <c r="M101" s="109">
        <f t="shared" si="185"/>
        <v>8</v>
      </c>
      <c r="N101" s="109" t="s">
        <v>474</v>
      </c>
    </row>
    <row r="102" spans="1:113" x14ac:dyDescent="0.25">
      <c r="A102" s="109">
        <v>7</v>
      </c>
      <c r="B102" s="109">
        <v>3</v>
      </c>
      <c r="C102" s="109" t="s">
        <v>336</v>
      </c>
      <c r="D102" s="109" t="s">
        <v>23</v>
      </c>
      <c r="E102" s="109" t="s">
        <v>24</v>
      </c>
      <c r="F102" s="109">
        <v>133</v>
      </c>
      <c r="G102" s="109">
        <v>1102</v>
      </c>
      <c r="H102" s="109">
        <v>10</v>
      </c>
      <c r="I102" s="109">
        <v>37258</v>
      </c>
      <c r="J102" s="109" t="s">
        <v>337</v>
      </c>
      <c r="K102" s="109" t="s">
        <v>211</v>
      </c>
      <c r="L102" s="109">
        <v>9.3000000000000007</v>
      </c>
      <c r="M102" s="109">
        <f t="shared" si="185"/>
        <v>5</v>
      </c>
      <c r="N102" s="109" t="s">
        <v>474</v>
      </c>
    </row>
    <row r="103" spans="1:113" x14ac:dyDescent="0.25">
      <c r="A103" s="109">
        <v>8</v>
      </c>
      <c r="B103" s="109">
        <v>6</v>
      </c>
      <c r="C103" s="109" t="s">
        <v>338</v>
      </c>
      <c r="D103" s="109" t="s">
        <v>48</v>
      </c>
      <c r="E103" s="109" t="s">
        <v>34</v>
      </c>
      <c r="F103" s="109">
        <v>127</v>
      </c>
      <c r="G103" s="109">
        <v>1101</v>
      </c>
      <c r="H103" s="109">
        <v>7</v>
      </c>
      <c r="I103" s="109">
        <v>37258</v>
      </c>
      <c r="J103" s="109" t="s">
        <v>339</v>
      </c>
      <c r="K103" s="109" t="s">
        <v>211</v>
      </c>
      <c r="L103" s="109">
        <v>19</v>
      </c>
      <c r="M103" s="109">
        <f t="shared" si="185"/>
        <v>10</v>
      </c>
      <c r="N103" s="109" t="s">
        <v>474</v>
      </c>
    </row>
    <row r="104" spans="1:113" x14ac:dyDescent="0.25">
      <c r="A104" s="109">
        <v>9</v>
      </c>
      <c r="B104" s="109">
        <v>5</v>
      </c>
      <c r="C104" s="109" t="s">
        <v>340</v>
      </c>
      <c r="D104" s="109" t="s">
        <v>70</v>
      </c>
      <c r="E104" s="109" t="s">
        <v>57</v>
      </c>
      <c r="F104" s="109">
        <v>129</v>
      </c>
      <c r="G104" s="109">
        <v>1110</v>
      </c>
      <c r="H104" s="109">
        <v>5</v>
      </c>
      <c r="I104" s="109">
        <v>37260</v>
      </c>
      <c r="J104" s="109" t="s">
        <v>341</v>
      </c>
      <c r="K104" s="109" t="s">
        <v>227</v>
      </c>
      <c r="L104" s="109">
        <v>82</v>
      </c>
      <c r="M104" s="109">
        <f t="shared" si="185"/>
        <v>12</v>
      </c>
      <c r="N104" s="109" t="s">
        <v>474</v>
      </c>
    </row>
    <row r="105" spans="1:113" x14ac:dyDescent="0.25">
      <c r="A105" s="109">
        <v>10</v>
      </c>
      <c r="B105" s="109">
        <v>9</v>
      </c>
      <c r="C105" s="109" t="s">
        <v>342</v>
      </c>
      <c r="D105" s="109" t="s">
        <v>68</v>
      </c>
      <c r="E105" s="109" t="s">
        <v>92</v>
      </c>
      <c r="F105" s="109">
        <v>123</v>
      </c>
      <c r="G105" s="109">
        <v>1118</v>
      </c>
      <c r="H105" s="109">
        <v>1</v>
      </c>
      <c r="I105" s="109">
        <v>37260</v>
      </c>
      <c r="J105" s="109" t="s">
        <v>343</v>
      </c>
      <c r="K105" s="109" t="s">
        <v>227</v>
      </c>
      <c r="L105" s="109">
        <v>25</v>
      </c>
      <c r="M105" s="109">
        <f t="shared" si="185"/>
        <v>11</v>
      </c>
      <c r="N105" s="109" t="s">
        <v>474</v>
      </c>
    </row>
    <row r="106" spans="1:113" x14ac:dyDescent="0.25">
      <c r="A106" s="109">
        <v>11</v>
      </c>
      <c r="B106" s="109">
        <v>4</v>
      </c>
      <c r="C106" s="109" t="s">
        <v>344</v>
      </c>
      <c r="D106" s="109" t="s">
        <v>33</v>
      </c>
      <c r="E106" s="109" t="s">
        <v>20</v>
      </c>
      <c r="F106" s="109">
        <v>131</v>
      </c>
      <c r="G106" s="109">
        <v>1080</v>
      </c>
      <c r="H106" s="109">
        <v>12</v>
      </c>
      <c r="I106" s="109">
        <v>37991</v>
      </c>
      <c r="J106" s="109" t="s">
        <v>345</v>
      </c>
      <c r="K106" s="109" t="s">
        <v>230</v>
      </c>
      <c r="L106" s="109">
        <v>16</v>
      </c>
      <c r="M106" s="109">
        <f t="shared" si="185"/>
        <v>7</v>
      </c>
      <c r="N106" s="109" t="s">
        <v>474</v>
      </c>
    </row>
    <row r="107" spans="1:113" x14ac:dyDescent="0.25">
      <c r="A107" s="109">
        <v>12</v>
      </c>
      <c r="B107" s="109">
        <v>10</v>
      </c>
      <c r="C107" s="109" t="s">
        <v>346</v>
      </c>
      <c r="D107" s="109" t="s">
        <v>80</v>
      </c>
      <c r="E107" s="109" t="s">
        <v>60</v>
      </c>
      <c r="F107" s="109">
        <v>119</v>
      </c>
      <c r="G107" s="109">
        <v>1166</v>
      </c>
      <c r="H107" s="109">
        <v>8</v>
      </c>
      <c r="I107" s="109">
        <v>37992</v>
      </c>
      <c r="J107" s="109" t="s">
        <v>347</v>
      </c>
      <c r="K107" s="109" t="s">
        <v>233</v>
      </c>
      <c r="L107" s="109">
        <v>17</v>
      </c>
      <c r="M107" s="109">
        <f t="shared" si="185"/>
        <v>8</v>
      </c>
      <c r="N107" s="109" t="s">
        <v>474</v>
      </c>
    </row>
    <row r="108" spans="1:113" x14ac:dyDescent="0.25">
      <c r="M108" s="109" t="e">
        <f t="shared" si="185"/>
        <v>#N/A</v>
      </c>
      <c r="N108" s="109" t="s">
        <v>474</v>
      </c>
    </row>
    <row r="109" spans="1:113" x14ac:dyDescent="0.25">
      <c r="M109" s="109" t="e">
        <f t="shared" si="185"/>
        <v>#N/A</v>
      </c>
      <c r="N109" s="109" t="s">
        <v>474</v>
      </c>
    </row>
    <row r="110" spans="1:113" x14ac:dyDescent="0.25">
      <c r="A110" s="109" t="s">
        <v>0</v>
      </c>
      <c r="B110" s="109" t="s">
        <v>1</v>
      </c>
      <c r="C110" s="109" t="s">
        <v>2</v>
      </c>
      <c r="D110" s="109" t="s">
        <v>3</v>
      </c>
      <c r="E110" s="109" t="s">
        <v>4</v>
      </c>
      <c r="F110" s="109" t="s">
        <v>167</v>
      </c>
      <c r="G110" s="109" t="s">
        <v>168</v>
      </c>
      <c r="H110" s="109" t="s">
        <v>7</v>
      </c>
      <c r="I110" s="109" t="s">
        <v>169</v>
      </c>
      <c r="J110" s="109" t="s">
        <v>170</v>
      </c>
      <c r="K110" s="109" t="s">
        <v>171</v>
      </c>
      <c r="L110" s="109" t="s">
        <v>172</v>
      </c>
      <c r="M110" s="109" t="s">
        <v>467</v>
      </c>
      <c r="N110" s="109" t="s">
        <v>479</v>
      </c>
    </row>
    <row r="111" spans="1:113" x14ac:dyDescent="0.25">
      <c r="A111" s="109">
        <v>1</v>
      </c>
      <c r="B111" s="109">
        <v>8</v>
      </c>
      <c r="C111" s="109" t="s">
        <v>348</v>
      </c>
      <c r="D111" s="109" t="s">
        <v>39</v>
      </c>
      <c r="E111" s="109" t="s">
        <v>141</v>
      </c>
      <c r="F111" s="109">
        <v>122</v>
      </c>
      <c r="G111" s="109">
        <v>1098</v>
      </c>
      <c r="H111" s="109">
        <v>5</v>
      </c>
      <c r="I111" s="109" t="s">
        <v>21</v>
      </c>
      <c r="J111" s="109" t="s">
        <v>272</v>
      </c>
      <c r="K111" s="109" t="s">
        <v>349</v>
      </c>
      <c r="L111" s="109">
        <v>2</v>
      </c>
      <c r="M111" s="109">
        <f>RANK(L111, $L$111:$L$124,1)</f>
        <v>1</v>
      </c>
      <c r="N111" s="109" t="s">
        <v>473</v>
      </c>
      <c r="O111" t="str">
        <f>IF(AND($L111&gt;=1, $L111&lt;=4), "1-4", "No")</f>
        <v>1-4</v>
      </c>
      <c r="P111" t="str">
        <f>IF(AND($L111&gt;=5, $L111&lt;=10), "5-10", "No")</f>
        <v>No</v>
      </c>
      <c r="Q111" t="str">
        <f>IF(AND($L111&gt;=11, $L111&lt;=20), "11-20", "No")</f>
        <v>No</v>
      </c>
      <c r="R111" t="str">
        <f>IF(AND($L111&gt;=20, $L111&lt;=30), "20-30", "No")</f>
        <v>No</v>
      </c>
      <c r="S111" t="str">
        <f>IF(AND($L111&gt;=30, $L111&lt;=999), "&gt;30", "No")</f>
        <v>No</v>
      </c>
      <c r="T111" t="str">
        <f>IF(AND($H111&gt;=1, $H111&lt;=6), "1-4", "No")</f>
        <v>1-4</v>
      </c>
      <c r="U111" t="str">
        <f>IF(AND($H111&gt;=5, $H111&lt;=10), "5-10", "No")</f>
        <v>5-10</v>
      </c>
      <c r="V111" t="str">
        <f>IF(AND($H111&gt;=11, $H111&lt;=12), "11-12", "No")</f>
        <v>No</v>
      </c>
      <c r="W111" t="str">
        <f>IF(AND($F111&gt;=0, $F111&lt;=117), "0-117", "No")</f>
        <v>No</v>
      </c>
      <c r="X111" t="str">
        <f>IF(AND($F111&gt;=118, $F111&lt;=127), "118-127", "No")</f>
        <v>118-127</v>
      </c>
      <c r="Y111" t="str">
        <f>IF(AND($F111&gt;=128, $F111&lt;=999), "&gt;128", "No")</f>
        <v>No</v>
      </c>
      <c r="Z111" t="str">
        <f t="shared" si="100"/>
        <v>No</v>
      </c>
      <c r="AA111" t="str">
        <f t="shared" si="101"/>
        <v>Yes</v>
      </c>
      <c r="AB111" t="str">
        <f t="shared" si="102"/>
        <v>No</v>
      </c>
      <c r="AC111" t="str">
        <f t="shared" si="103"/>
        <v>No</v>
      </c>
      <c r="AD111" t="str">
        <f t="shared" si="104"/>
        <v>No</v>
      </c>
      <c r="AE111" t="str">
        <f t="shared" si="105"/>
        <v>No</v>
      </c>
      <c r="AF111" t="str">
        <f t="shared" si="106"/>
        <v>No</v>
      </c>
      <c r="AG111" t="str">
        <f t="shared" si="107"/>
        <v>No</v>
      </c>
      <c r="AH111" t="str">
        <f t="shared" si="108"/>
        <v>No</v>
      </c>
      <c r="AI111" t="str">
        <f t="shared" si="109"/>
        <v>No</v>
      </c>
      <c r="AJ111" t="str">
        <f t="shared" si="110"/>
        <v>No</v>
      </c>
      <c r="AK111" t="str">
        <f t="shared" si="111"/>
        <v>No</v>
      </c>
      <c r="AL111" t="str">
        <f t="shared" si="112"/>
        <v>No</v>
      </c>
      <c r="AM111" t="str">
        <f t="shared" si="113"/>
        <v>No</v>
      </c>
      <c r="AN111" t="str">
        <f t="shared" si="114"/>
        <v>No</v>
      </c>
      <c r="AP111" t="str">
        <f t="shared" si="115"/>
        <v>No</v>
      </c>
      <c r="AQ111" t="str">
        <f t="shared" si="116"/>
        <v>Yes</v>
      </c>
      <c r="AR111" t="str">
        <f t="shared" si="117"/>
        <v>No</v>
      </c>
      <c r="AS111" t="str">
        <f t="shared" si="118"/>
        <v>No</v>
      </c>
      <c r="AT111" t="str">
        <f t="shared" si="119"/>
        <v>No</v>
      </c>
      <c r="AU111" t="str">
        <f t="shared" si="120"/>
        <v>No</v>
      </c>
      <c r="AV111" t="str">
        <f t="shared" si="121"/>
        <v>No</v>
      </c>
      <c r="AW111" t="str">
        <f t="shared" si="122"/>
        <v>No</v>
      </c>
      <c r="AX111" t="str">
        <f t="shared" si="123"/>
        <v>No</v>
      </c>
      <c r="AY111" t="str">
        <f t="shared" si="124"/>
        <v>No</v>
      </c>
      <c r="AZ111" t="str">
        <f t="shared" si="125"/>
        <v>No</v>
      </c>
      <c r="BA111" t="str">
        <f t="shared" si="126"/>
        <v>No</v>
      </c>
      <c r="BB111" t="str">
        <f t="shared" si="127"/>
        <v>No</v>
      </c>
      <c r="BC111" t="str">
        <f t="shared" si="128"/>
        <v>No</v>
      </c>
      <c r="BD111" t="str">
        <f t="shared" si="129"/>
        <v>No</v>
      </c>
      <c r="BF111" t="str">
        <f t="shared" si="130"/>
        <v>No</v>
      </c>
      <c r="BG111" t="str">
        <f t="shared" si="131"/>
        <v>No</v>
      </c>
      <c r="BH111" t="str">
        <f t="shared" si="132"/>
        <v>No</v>
      </c>
      <c r="BI111" t="str">
        <f t="shared" si="133"/>
        <v>No</v>
      </c>
      <c r="BJ111" t="str">
        <f t="shared" si="134"/>
        <v>Yes</v>
      </c>
      <c r="BK111" t="str">
        <f t="shared" si="135"/>
        <v>No</v>
      </c>
      <c r="BL111" t="str">
        <f t="shared" si="136"/>
        <v>No</v>
      </c>
      <c r="BM111" t="str">
        <f t="shared" si="137"/>
        <v>No</v>
      </c>
      <c r="BN111" t="str">
        <f t="shared" si="138"/>
        <v>No</v>
      </c>
      <c r="BQ111" t="str">
        <f t="shared" si="139"/>
        <v>No</v>
      </c>
      <c r="BR111" t="str">
        <f t="shared" si="140"/>
        <v>No</v>
      </c>
      <c r="BS111" t="str">
        <f t="shared" si="141"/>
        <v>No</v>
      </c>
      <c r="BT111" t="str">
        <f t="shared" si="142"/>
        <v>No</v>
      </c>
      <c r="BU111" t="str">
        <f t="shared" si="143"/>
        <v>Yes</v>
      </c>
      <c r="BV111" t="str">
        <f t="shared" si="144"/>
        <v>No</v>
      </c>
      <c r="BW111" t="str">
        <f t="shared" si="145"/>
        <v>No</v>
      </c>
      <c r="BX111" t="str">
        <f t="shared" si="146"/>
        <v>No</v>
      </c>
      <c r="BY111" t="str">
        <f t="shared" si="147"/>
        <v>No</v>
      </c>
      <c r="BZ111" t="str">
        <f t="shared" si="148"/>
        <v>No</v>
      </c>
      <c r="CA111" t="str">
        <f t="shared" si="149"/>
        <v>No</v>
      </c>
      <c r="CB111" t="str">
        <f t="shared" si="150"/>
        <v>No</v>
      </c>
      <c r="CC111" t="str">
        <f t="shared" si="151"/>
        <v>No</v>
      </c>
      <c r="CD111" t="str">
        <f t="shared" si="152"/>
        <v>No</v>
      </c>
      <c r="CE111" t="str">
        <f t="shared" si="153"/>
        <v>No</v>
      </c>
      <c r="CF111" t="str">
        <f t="shared" si="154"/>
        <v>No</v>
      </c>
      <c r="CG111" t="str">
        <f t="shared" si="155"/>
        <v>No</v>
      </c>
      <c r="CH111" t="str">
        <f t="shared" si="156"/>
        <v>No</v>
      </c>
      <c r="CI111" t="str">
        <f t="shared" si="157"/>
        <v>No</v>
      </c>
      <c r="CJ111" t="str">
        <f t="shared" si="158"/>
        <v>No</v>
      </c>
      <c r="CK111" t="str">
        <f t="shared" si="159"/>
        <v>No</v>
      </c>
      <c r="CL111" t="str">
        <f t="shared" si="160"/>
        <v>No</v>
      </c>
      <c r="CM111" t="str">
        <f t="shared" si="161"/>
        <v>No</v>
      </c>
      <c r="CN111" t="str">
        <f t="shared" si="162"/>
        <v>No</v>
      </c>
      <c r="CO111" t="str">
        <f t="shared" si="163"/>
        <v>No</v>
      </c>
      <c r="CP111" t="str">
        <f t="shared" si="164"/>
        <v>No</v>
      </c>
      <c r="CQ111" t="str">
        <f t="shared" si="165"/>
        <v>No</v>
      </c>
      <c r="CR111" t="str">
        <f t="shared" si="166"/>
        <v>No</v>
      </c>
      <c r="CS111" t="str">
        <f t="shared" si="167"/>
        <v>No</v>
      </c>
      <c r="CT111" t="str">
        <f t="shared" si="168"/>
        <v>No</v>
      </c>
      <c r="CU111" t="str">
        <f t="shared" si="169"/>
        <v>No</v>
      </c>
      <c r="CV111" t="str">
        <f t="shared" si="170"/>
        <v>No</v>
      </c>
      <c r="CW111" t="str">
        <f t="shared" si="171"/>
        <v>No</v>
      </c>
      <c r="CX111" t="str">
        <f t="shared" si="172"/>
        <v>No</v>
      </c>
      <c r="CY111" t="str">
        <f t="shared" si="173"/>
        <v>No</v>
      </c>
      <c r="CZ111" t="str">
        <f t="shared" si="174"/>
        <v>No</v>
      </c>
      <c r="DA111" t="str">
        <f t="shared" si="175"/>
        <v>No</v>
      </c>
      <c r="DB111" t="str">
        <f t="shared" si="176"/>
        <v>No</v>
      </c>
      <c r="DC111" t="str">
        <f t="shared" si="177"/>
        <v>No</v>
      </c>
      <c r="DD111" t="str">
        <f t="shared" si="178"/>
        <v>No</v>
      </c>
      <c r="DE111" t="str">
        <f t="shared" si="179"/>
        <v>No</v>
      </c>
      <c r="DF111" t="str">
        <f t="shared" si="180"/>
        <v>No</v>
      </c>
      <c r="DG111" t="str">
        <f t="shared" si="181"/>
        <v>No</v>
      </c>
      <c r="DH111" t="str">
        <f t="shared" si="182"/>
        <v>No</v>
      </c>
      <c r="DI111" t="str">
        <f t="shared" si="183"/>
        <v>No</v>
      </c>
    </row>
    <row r="112" spans="1:113" x14ac:dyDescent="0.25">
      <c r="A112" s="109">
        <v>2</v>
      </c>
      <c r="B112" s="109">
        <v>11</v>
      </c>
      <c r="C112" s="109" t="s">
        <v>350</v>
      </c>
      <c r="D112" s="109" t="s">
        <v>80</v>
      </c>
      <c r="E112" s="109" t="s">
        <v>60</v>
      </c>
      <c r="F112" s="109">
        <v>118</v>
      </c>
      <c r="G112" s="109">
        <v>1029</v>
      </c>
      <c r="H112" s="109">
        <v>3</v>
      </c>
      <c r="I112" s="109">
        <v>38047</v>
      </c>
      <c r="J112" s="109" t="s">
        <v>351</v>
      </c>
      <c r="K112" s="109" t="s">
        <v>352</v>
      </c>
      <c r="L112" s="109">
        <v>6.5</v>
      </c>
      <c r="M112" s="109">
        <f t="shared" ref="M112:M124" si="186">RANK(L112, $L$111:$L$124,1)</f>
        <v>2</v>
      </c>
      <c r="N112" s="109" t="s">
        <v>473</v>
      </c>
      <c r="O112" t="str">
        <f>IF(AND($L112&gt;=1, $L112&lt;=4), "1-4", "No")</f>
        <v>No</v>
      </c>
      <c r="P112" t="str">
        <f>IF(AND($L112&gt;=5, $L112&lt;=10), "5-10", "No")</f>
        <v>5-10</v>
      </c>
      <c r="Q112" t="str">
        <f>IF(AND($L112&gt;=11, $L112&lt;=20), "11-20", "No")</f>
        <v>No</v>
      </c>
      <c r="R112" t="str">
        <f>IF(AND($L112&gt;=20, $L112&lt;=30), "20-30", "No")</f>
        <v>No</v>
      </c>
      <c r="S112" t="str">
        <f>IF(AND($L112&gt;=30, $L112&lt;=999), "&gt;30", "No")</f>
        <v>No</v>
      </c>
      <c r="T112" t="str">
        <f>IF(AND($H112&gt;=1, $H112&lt;=6), "1-4", "No")</f>
        <v>1-4</v>
      </c>
      <c r="U112" t="str">
        <f>IF(AND($H112&gt;=5, $H112&lt;=10), "5-10", "No")</f>
        <v>No</v>
      </c>
      <c r="V112" t="str">
        <f>IF(AND($H112&gt;=11, $H112&lt;=12), "11-12", "No")</f>
        <v>No</v>
      </c>
      <c r="W112" t="str">
        <f>IF(AND($F112&gt;=0, $F112&lt;=117), "0-117", "No")</f>
        <v>No</v>
      </c>
      <c r="X112" t="str">
        <f>IF(AND($F112&gt;=118, $F112&lt;=127), "118-127", "No")</f>
        <v>118-127</v>
      </c>
      <c r="Y112" t="str">
        <f>IF(AND($F112&gt;=128, $F112&lt;=999), "&gt;128", "No")</f>
        <v>No</v>
      </c>
      <c r="Z112" t="str">
        <f t="shared" si="100"/>
        <v>No</v>
      </c>
      <c r="AA112" t="str">
        <f t="shared" si="101"/>
        <v>No</v>
      </c>
      <c r="AB112" t="str">
        <f t="shared" si="102"/>
        <v>No</v>
      </c>
      <c r="AC112" t="str">
        <f t="shared" si="103"/>
        <v>Yes</v>
      </c>
      <c r="AD112" t="str">
        <f t="shared" si="104"/>
        <v>No</v>
      </c>
      <c r="AE112" t="str">
        <f t="shared" si="105"/>
        <v>No</v>
      </c>
      <c r="AF112" t="str">
        <f t="shared" si="106"/>
        <v>No</v>
      </c>
      <c r="AG112" t="str">
        <f t="shared" si="107"/>
        <v>No</v>
      </c>
      <c r="AH112" t="str">
        <f t="shared" si="108"/>
        <v>No</v>
      </c>
      <c r="AI112" t="str">
        <f t="shared" si="109"/>
        <v>No</v>
      </c>
      <c r="AJ112" t="str">
        <f t="shared" si="110"/>
        <v>No</v>
      </c>
      <c r="AK112" t="str">
        <f t="shared" si="111"/>
        <v>No</v>
      </c>
      <c r="AL112" t="str">
        <f t="shared" si="112"/>
        <v>No</v>
      </c>
      <c r="AM112" t="str">
        <f t="shared" si="113"/>
        <v>No</v>
      </c>
      <c r="AN112" t="str">
        <f t="shared" si="114"/>
        <v>No</v>
      </c>
      <c r="AP112" t="str">
        <f t="shared" si="115"/>
        <v>No</v>
      </c>
      <c r="AQ112" t="str">
        <f t="shared" si="116"/>
        <v>No</v>
      </c>
      <c r="AR112" t="str">
        <f t="shared" si="117"/>
        <v>No</v>
      </c>
      <c r="AS112" t="str">
        <f t="shared" si="118"/>
        <v>No</v>
      </c>
      <c r="AT112" t="str">
        <f t="shared" si="119"/>
        <v>Yes</v>
      </c>
      <c r="AU112" t="str">
        <f t="shared" si="120"/>
        <v>No</v>
      </c>
      <c r="AV112" t="str">
        <f t="shared" si="121"/>
        <v>No</v>
      </c>
      <c r="AW112" t="str">
        <f t="shared" si="122"/>
        <v>No</v>
      </c>
      <c r="AX112" t="str">
        <f t="shared" si="123"/>
        <v>No</v>
      </c>
      <c r="AY112" t="str">
        <f t="shared" si="124"/>
        <v>No</v>
      </c>
      <c r="AZ112" t="str">
        <f t="shared" si="125"/>
        <v>No</v>
      </c>
      <c r="BA112" t="str">
        <f t="shared" si="126"/>
        <v>No</v>
      </c>
      <c r="BB112" t="str">
        <f t="shared" si="127"/>
        <v>No</v>
      </c>
      <c r="BC112" t="str">
        <f t="shared" si="128"/>
        <v>No</v>
      </c>
      <c r="BD112" t="str">
        <f t="shared" si="129"/>
        <v>No</v>
      </c>
      <c r="BF112" t="str">
        <f t="shared" si="130"/>
        <v>No</v>
      </c>
      <c r="BG112" t="str">
        <f t="shared" si="131"/>
        <v>Yes</v>
      </c>
      <c r="BH112" t="str">
        <f t="shared" si="132"/>
        <v>No</v>
      </c>
      <c r="BI112" t="str">
        <f t="shared" si="133"/>
        <v>No</v>
      </c>
      <c r="BJ112" t="str">
        <f t="shared" si="134"/>
        <v>No</v>
      </c>
      <c r="BK112" t="str">
        <f t="shared" si="135"/>
        <v>No</v>
      </c>
      <c r="BL112" t="str">
        <f t="shared" si="136"/>
        <v>No</v>
      </c>
      <c r="BM112" t="str">
        <f t="shared" si="137"/>
        <v>No</v>
      </c>
      <c r="BN112" t="str">
        <f t="shared" si="138"/>
        <v>No</v>
      </c>
      <c r="BQ112" t="str">
        <f t="shared" si="139"/>
        <v>No</v>
      </c>
      <c r="BR112" t="str">
        <f t="shared" si="140"/>
        <v>No</v>
      </c>
      <c r="BS112" t="str">
        <f t="shared" si="141"/>
        <v>No</v>
      </c>
      <c r="BT112" t="str">
        <f t="shared" si="142"/>
        <v>No</v>
      </c>
      <c r="BU112" t="str">
        <f t="shared" si="143"/>
        <v>No</v>
      </c>
      <c r="BV112" t="str">
        <f t="shared" si="144"/>
        <v>No</v>
      </c>
      <c r="BW112" t="str">
        <f t="shared" si="145"/>
        <v>No</v>
      </c>
      <c r="BX112" t="str">
        <f t="shared" si="146"/>
        <v>No</v>
      </c>
      <c r="BY112" t="str">
        <f t="shared" si="147"/>
        <v>No</v>
      </c>
      <c r="BZ112" t="str">
        <f t="shared" si="148"/>
        <v>No</v>
      </c>
      <c r="CA112" t="str">
        <f t="shared" si="149"/>
        <v>Yes</v>
      </c>
      <c r="CB112" t="str">
        <f t="shared" si="150"/>
        <v>No</v>
      </c>
      <c r="CC112" t="str">
        <f t="shared" si="151"/>
        <v>No</v>
      </c>
      <c r="CD112" t="str">
        <f t="shared" si="152"/>
        <v>No</v>
      </c>
      <c r="CE112" t="str">
        <f t="shared" si="153"/>
        <v>No</v>
      </c>
      <c r="CF112" t="str">
        <f t="shared" si="154"/>
        <v>No</v>
      </c>
      <c r="CG112" t="str">
        <f t="shared" si="155"/>
        <v>No</v>
      </c>
      <c r="CH112" t="str">
        <f t="shared" si="156"/>
        <v>No</v>
      </c>
      <c r="CI112" t="str">
        <f t="shared" si="157"/>
        <v>No</v>
      </c>
      <c r="CJ112" t="str">
        <f t="shared" si="158"/>
        <v>No</v>
      </c>
      <c r="CK112" t="str">
        <f t="shared" si="159"/>
        <v>No</v>
      </c>
      <c r="CL112" t="str">
        <f t="shared" si="160"/>
        <v>No</v>
      </c>
      <c r="CM112" t="str">
        <f t="shared" si="161"/>
        <v>No</v>
      </c>
      <c r="CN112" t="str">
        <f t="shared" si="162"/>
        <v>No</v>
      </c>
      <c r="CO112" t="str">
        <f t="shared" si="163"/>
        <v>No</v>
      </c>
      <c r="CP112" t="str">
        <f t="shared" si="164"/>
        <v>No</v>
      </c>
      <c r="CQ112" t="str">
        <f t="shared" si="165"/>
        <v>No</v>
      </c>
      <c r="CR112" t="str">
        <f t="shared" si="166"/>
        <v>No</v>
      </c>
      <c r="CS112" t="str">
        <f t="shared" si="167"/>
        <v>No</v>
      </c>
      <c r="CT112" t="str">
        <f t="shared" si="168"/>
        <v>No</v>
      </c>
      <c r="CU112" t="str">
        <f t="shared" si="169"/>
        <v>No</v>
      </c>
      <c r="CV112" t="str">
        <f t="shared" si="170"/>
        <v>No</v>
      </c>
      <c r="CW112" t="str">
        <f t="shared" si="171"/>
        <v>No</v>
      </c>
      <c r="CX112" t="str">
        <f t="shared" si="172"/>
        <v>No</v>
      </c>
      <c r="CY112" t="str">
        <f t="shared" si="173"/>
        <v>No</v>
      </c>
      <c r="CZ112" t="str">
        <f t="shared" si="174"/>
        <v>No</v>
      </c>
      <c r="DA112" t="str">
        <f t="shared" si="175"/>
        <v>No</v>
      </c>
      <c r="DB112" t="str">
        <f t="shared" si="176"/>
        <v>No</v>
      </c>
      <c r="DC112" t="str">
        <f t="shared" si="177"/>
        <v>No</v>
      </c>
      <c r="DD112" t="str">
        <f t="shared" si="178"/>
        <v>No</v>
      </c>
      <c r="DE112" t="str">
        <f t="shared" si="179"/>
        <v>No</v>
      </c>
      <c r="DF112" t="str">
        <f t="shared" si="180"/>
        <v>No</v>
      </c>
      <c r="DG112" t="str">
        <f t="shared" si="181"/>
        <v>No</v>
      </c>
      <c r="DH112" t="str">
        <f t="shared" si="182"/>
        <v>No</v>
      </c>
      <c r="DI112" t="str">
        <f t="shared" si="183"/>
        <v>No</v>
      </c>
    </row>
    <row r="113" spans="1:113" x14ac:dyDescent="0.25">
      <c r="A113" s="109" t="s">
        <v>61</v>
      </c>
      <c r="B113" s="109">
        <v>6</v>
      </c>
      <c r="C113" s="109" t="s">
        <v>353</v>
      </c>
      <c r="D113" s="109" t="s">
        <v>27</v>
      </c>
      <c r="E113" s="109" t="s">
        <v>95</v>
      </c>
      <c r="F113" s="109">
        <v>126</v>
      </c>
      <c r="G113" s="109">
        <v>1116</v>
      </c>
      <c r="H113" s="109">
        <v>7</v>
      </c>
      <c r="I113" s="109">
        <v>2</v>
      </c>
      <c r="J113" s="109" t="s">
        <v>354</v>
      </c>
      <c r="K113" s="109" t="s">
        <v>323</v>
      </c>
      <c r="L113" s="109">
        <v>22</v>
      </c>
      <c r="M113" s="109">
        <f t="shared" si="186"/>
        <v>7</v>
      </c>
      <c r="N113" s="109" t="s">
        <v>473</v>
      </c>
      <c r="O113" t="str">
        <f>IF(AND($L113&gt;=1, $L113&lt;=4), "1-4", "No")</f>
        <v>No</v>
      </c>
      <c r="P113" t="str">
        <f>IF(AND($L113&gt;=5, $L113&lt;=10), "5-10", "No")</f>
        <v>No</v>
      </c>
      <c r="Q113" t="str">
        <f>IF(AND($L113&gt;=11, $L113&lt;=20), "11-20", "No")</f>
        <v>No</v>
      </c>
      <c r="R113" t="str">
        <f>IF(AND($L113&gt;=20, $L113&lt;=30), "20-30", "No")</f>
        <v>20-30</v>
      </c>
      <c r="S113" t="str">
        <f>IF(AND($L113&gt;=30, $L113&lt;=999), "&gt;30", "No")</f>
        <v>No</v>
      </c>
      <c r="T113" t="str">
        <f>IF(AND($H113&gt;=1, $H113&lt;=6), "1-4", "No")</f>
        <v>No</v>
      </c>
      <c r="U113" t="str">
        <f>IF(AND($H113&gt;=5, $H113&lt;=10), "5-10", "No")</f>
        <v>5-10</v>
      </c>
      <c r="V113" t="str">
        <f>IF(AND($H113&gt;=11, $H113&lt;=12), "11-12", "No")</f>
        <v>No</v>
      </c>
      <c r="W113" t="str">
        <f>IF(AND($F113&gt;=0, $F113&lt;=117), "0-117", "No")</f>
        <v>No</v>
      </c>
      <c r="X113" t="str">
        <f>IF(AND($F113&gt;=118, $F113&lt;=127), "118-127", "No")</f>
        <v>118-127</v>
      </c>
      <c r="Y113" t="str">
        <f>IF(AND($F113&gt;=128, $F113&lt;=999), "&gt;128", "No")</f>
        <v>No</v>
      </c>
      <c r="Z113" t="str">
        <f t="shared" si="100"/>
        <v>No</v>
      </c>
      <c r="AA113" t="str">
        <f t="shared" si="101"/>
        <v>No</v>
      </c>
      <c r="AB113" t="str">
        <f t="shared" si="102"/>
        <v>No</v>
      </c>
      <c r="AC113" t="str">
        <f t="shared" si="103"/>
        <v>No</v>
      </c>
      <c r="AD113" t="str">
        <f t="shared" si="104"/>
        <v>No</v>
      </c>
      <c r="AE113" t="str">
        <f t="shared" si="105"/>
        <v>No</v>
      </c>
      <c r="AF113" t="str">
        <f t="shared" si="106"/>
        <v>No</v>
      </c>
      <c r="AG113" t="str">
        <f t="shared" si="107"/>
        <v>No</v>
      </c>
      <c r="AH113" t="str">
        <f t="shared" si="108"/>
        <v>No</v>
      </c>
      <c r="AI113" t="str">
        <f t="shared" si="109"/>
        <v>No</v>
      </c>
      <c r="AJ113" t="str">
        <f t="shared" si="110"/>
        <v>Yes</v>
      </c>
      <c r="AK113" t="str">
        <f t="shared" si="111"/>
        <v>No</v>
      </c>
      <c r="AL113" t="str">
        <f t="shared" si="112"/>
        <v>No</v>
      </c>
      <c r="AM113" t="str">
        <f t="shared" si="113"/>
        <v>No</v>
      </c>
      <c r="AN113" t="str">
        <f t="shared" si="114"/>
        <v>No</v>
      </c>
      <c r="AP113" t="str">
        <f t="shared" si="115"/>
        <v>No</v>
      </c>
      <c r="AQ113" t="str">
        <f t="shared" si="116"/>
        <v>No</v>
      </c>
      <c r="AR113" t="str">
        <f t="shared" si="117"/>
        <v>No</v>
      </c>
      <c r="AS113" t="str">
        <f t="shared" si="118"/>
        <v>No</v>
      </c>
      <c r="AT113" t="str">
        <f t="shared" si="119"/>
        <v>No</v>
      </c>
      <c r="AU113" t="str">
        <f t="shared" si="120"/>
        <v>No</v>
      </c>
      <c r="AV113" t="str">
        <f t="shared" si="121"/>
        <v>No</v>
      </c>
      <c r="AW113" t="str">
        <f t="shared" si="122"/>
        <v>No</v>
      </c>
      <c r="AX113" t="str">
        <f t="shared" si="123"/>
        <v>No</v>
      </c>
      <c r="AY113" t="str">
        <f t="shared" si="124"/>
        <v>No</v>
      </c>
      <c r="AZ113" t="str">
        <f t="shared" si="125"/>
        <v>Yes</v>
      </c>
      <c r="BA113" t="str">
        <f t="shared" si="126"/>
        <v>No</v>
      </c>
      <c r="BB113" t="str">
        <f t="shared" si="127"/>
        <v>No</v>
      </c>
      <c r="BC113" t="str">
        <f t="shared" si="128"/>
        <v>No</v>
      </c>
      <c r="BD113" t="str">
        <f t="shared" si="129"/>
        <v>No</v>
      </c>
      <c r="BF113" t="str">
        <f t="shared" si="130"/>
        <v>No</v>
      </c>
      <c r="BG113" t="str">
        <f t="shared" si="131"/>
        <v>No</v>
      </c>
      <c r="BH113" t="str">
        <f t="shared" si="132"/>
        <v>No</v>
      </c>
      <c r="BI113" t="str">
        <f t="shared" si="133"/>
        <v>No</v>
      </c>
      <c r="BJ113" t="str">
        <f t="shared" si="134"/>
        <v>Yes</v>
      </c>
      <c r="BK113" t="str">
        <f t="shared" si="135"/>
        <v>No</v>
      </c>
      <c r="BL113" t="str">
        <f t="shared" si="136"/>
        <v>No</v>
      </c>
      <c r="BM113" t="str">
        <f t="shared" si="137"/>
        <v>No</v>
      </c>
      <c r="BN113" t="str">
        <f t="shared" si="138"/>
        <v>No</v>
      </c>
      <c r="BQ113" t="str">
        <f t="shared" si="139"/>
        <v>No</v>
      </c>
      <c r="BR113" t="str">
        <f t="shared" si="140"/>
        <v>No</v>
      </c>
      <c r="BS113" t="str">
        <f t="shared" si="141"/>
        <v>No</v>
      </c>
      <c r="BT113" t="str">
        <f t="shared" si="142"/>
        <v>No</v>
      </c>
      <c r="BU113" t="str">
        <f t="shared" si="143"/>
        <v>No</v>
      </c>
      <c r="BV113" t="str">
        <f t="shared" si="144"/>
        <v>No</v>
      </c>
      <c r="BW113" t="str">
        <f t="shared" si="145"/>
        <v>No</v>
      </c>
      <c r="BX113" t="str">
        <f t="shared" si="146"/>
        <v>No</v>
      </c>
      <c r="BY113" t="str">
        <f t="shared" si="147"/>
        <v>No</v>
      </c>
      <c r="BZ113" t="str">
        <f t="shared" si="148"/>
        <v>No</v>
      </c>
      <c r="CA113" t="str">
        <f t="shared" si="149"/>
        <v>No</v>
      </c>
      <c r="CB113" t="str">
        <f t="shared" si="150"/>
        <v>No</v>
      </c>
      <c r="CC113" t="str">
        <f t="shared" si="151"/>
        <v>No</v>
      </c>
      <c r="CD113" t="str">
        <f t="shared" si="152"/>
        <v>No</v>
      </c>
      <c r="CE113" t="str">
        <f t="shared" si="153"/>
        <v>No</v>
      </c>
      <c r="CF113" t="str">
        <f t="shared" si="154"/>
        <v>No</v>
      </c>
      <c r="CG113" t="str">
        <f t="shared" si="155"/>
        <v>No</v>
      </c>
      <c r="CH113" t="str">
        <f t="shared" si="156"/>
        <v>No</v>
      </c>
      <c r="CI113" t="str">
        <f t="shared" si="157"/>
        <v>No</v>
      </c>
      <c r="CJ113" t="str">
        <f t="shared" si="158"/>
        <v>No</v>
      </c>
      <c r="CK113" t="str">
        <f t="shared" si="159"/>
        <v>No</v>
      </c>
      <c r="CL113" t="str">
        <f t="shared" si="160"/>
        <v>No</v>
      </c>
      <c r="CM113" t="str">
        <f t="shared" si="161"/>
        <v>No</v>
      </c>
      <c r="CN113" t="str">
        <f t="shared" si="162"/>
        <v>No</v>
      </c>
      <c r="CO113" t="str">
        <f t="shared" si="163"/>
        <v>No</v>
      </c>
      <c r="CP113" t="str">
        <f t="shared" si="164"/>
        <v>No</v>
      </c>
      <c r="CQ113" t="str">
        <f t="shared" si="165"/>
        <v>No</v>
      </c>
      <c r="CR113" t="str">
        <f t="shared" si="166"/>
        <v>No</v>
      </c>
      <c r="CS113" t="str">
        <f t="shared" si="167"/>
        <v>No</v>
      </c>
      <c r="CT113" t="str">
        <f t="shared" si="168"/>
        <v>No</v>
      </c>
      <c r="CU113" t="str">
        <f t="shared" si="169"/>
        <v>No</v>
      </c>
      <c r="CV113" t="str">
        <f t="shared" si="170"/>
        <v>Yes</v>
      </c>
      <c r="CW113" t="str">
        <f t="shared" si="171"/>
        <v>No</v>
      </c>
      <c r="CX113" t="str">
        <f t="shared" si="172"/>
        <v>No</v>
      </c>
      <c r="CY113" t="str">
        <f t="shared" si="173"/>
        <v>No</v>
      </c>
      <c r="CZ113" t="str">
        <f t="shared" si="174"/>
        <v>No</v>
      </c>
      <c r="DA113" t="str">
        <f t="shared" si="175"/>
        <v>No</v>
      </c>
      <c r="DB113" t="str">
        <f t="shared" si="176"/>
        <v>No</v>
      </c>
      <c r="DC113" t="str">
        <f t="shared" si="177"/>
        <v>No</v>
      </c>
      <c r="DD113" t="str">
        <f t="shared" si="178"/>
        <v>No</v>
      </c>
      <c r="DE113" t="str">
        <f t="shared" si="179"/>
        <v>No</v>
      </c>
      <c r="DF113" t="str">
        <f t="shared" si="180"/>
        <v>No</v>
      </c>
      <c r="DG113" t="str">
        <f t="shared" si="181"/>
        <v>No</v>
      </c>
      <c r="DH113" t="str">
        <f t="shared" si="182"/>
        <v>No</v>
      </c>
      <c r="DI113" t="str">
        <f t="shared" si="183"/>
        <v>No</v>
      </c>
    </row>
    <row r="114" spans="1:113" x14ac:dyDescent="0.25">
      <c r="A114" s="109" t="s">
        <v>84</v>
      </c>
      <c r="B114" s="109">
        <v>5</v>
      </c>
      <c r="C114" s="109" t="s">
        <v>355</v>
      </c>
      <c r="D114" s="109" t="s">
        <v>19</v>
      </c>
      <c r="E114" s="109" t="s">
        <v>46</v>
      </c>
      <c r="F114" s="109">
        <v>125</v>
      </c>
      <c r="G114" s="109">
        <v>1138</v>
      </c>
      <c r="H114" s="109">
        <v>11</v>
      </c>
      <c r="I114" s="109">
        <v>37988</v>
      </c>
      <c r="J114" s="109" t="s">
        <v>356</v>
      </c>
      <c r="K114" s="109" t="s">
        <v>323</v>
      </c>
      <c r="L114" s="109">
        <v>34</v>
      </c>
      <c r="M114" s="109">
        <f t="shared" si="186"/>
        <v>11</v>
      </c>
      <c r="N114" s="109" t="s">
        <v>473</v>
      </c>
      <c r="O114" t="str">
        <f>IF(AND($L114&gt;=1, $L114&lt;=4), "1-4", "No")</f>
        <v>No</v>
      </c>
      <c r="P114" t="str">
        <f>IF(AND($L114&gt;=5, $L114&lt;=10), "5-10", "No")</f>
        <v>No</v>
      </c>
      <c r="Q114" t="str">
        <f>IF(AND($L114&gt;=11, $L114&lt;=20), "11-20", "No")</f>
        <v>No</v>
      </c>
      <c r="R114" t="str">
        <f>IF(AND($L114&gt;=20, $L114&lt;=30), "20-30", "No")</f>
        <v>No</v>
      </c>
      <c r="S114" t="str">
        <f>IF(AND($L114&gt;=30, $L114&lt;=999), "&gt;30", "No")</f>
        <v>&gt;30</v>
      </c>
      <c r="T114" t="str">
        <f>IF(AND($H114&gt;=1, $H114&lt;=6), "1-4", "No")</f>
        <v>No</v>
      </c>
      <c r="U114" t="str">
        <f>IF(AND($H114&gt;=5, $H114&lt;=10), "5-10", "No")</f>
        <v>No</v>
      </c>
      <c r="V114" t="str">
        <f>IF(AND($H114&gt;=11, $H114&lt;=12), "11-12", "No")</f>
        <v>11-12</v>
      </c>
      <c r="W114" t="str">
        <f>IF(AND($F114&gt;=0, $F114&lt;=117), "0-117", "No")</f>
        <v>No</v>
      </c>
      <c r="X114" t="str">
        <f>IF(AND($F114&gt;=118, $F114&lt;=127), "118-127", "No")</f>
        <v>118-127</v>
      </c>
      <c r="Y114" t="str">
        <f>IF(AND($F114&gt;=128, $F114&lt;=999), "&gt;128", "No")</f>
        <v>No</v>
      </c>
      <c r="Z114" t="str">
        <f t="shared" si="100"/>
        <v>No</v>
      </c>
      <c r="AA114" t="str">
        <f t="shared" si="101"/>
        <v>No</v>
      </c>
      <c r="AB114" t="str">
        <f t="shared" si="102"/>
        <v>No</v>
      </c>
      <c r="AC114" t="str">
        <f t="shared" si="103"/>
        <v>No</v>
      </c>
      <c r="AD114" t="str">
        <f t="shared" si="104"/>
        <v>No</v>
      </c>
      <c r="AE114" t="str">
        <f t="shared" si="105"/>
        <v>No</v>
      </c>
      <c r="AF114" t="str">
        <f t="shared" si="106"/>
        <v>No</v>
      </c>
      <c r="AG114" t="str">
        <f t="shared" si="107"/>
        <v>No</v>
      </c>
      <c r="AH114" t="str">
        <f t="shared" si="108"/>
        <v>No</v>
      </c>
      <c r="AI114" t="str">
        <f t="shared" si="109"/>
        <v>No</v>
      </c>
      <c r="AJ114" t="str">
        <f t="shared" si="110"/>
        <v>No</v>
      </c>
      <c r="AK114" t="str">
        <f t="shared" si="111"/>
        <v>No</v>
      </c>
      <c r="AL114" t="str">
        <f t="shared" si="112"/>
        <v>No</v>
      </c>
      <c r="AM114" t="str">
        <f t="shared" si="113"/>
        <v>No</v>
      </c>
      <c r="AN114" t="str">
        <f t="shared" si="114"/>
        <v>Yes</v>
      </c>
      <c r="AP114" t="str">
        <f t="shared" si="115"/>
        <v>No</v>
      </c>
      <c r="AQ114" t="str">
        <f t="shared" si="116"/>
        <v>No</v>
      </c>
      <c r="AR114" t="str">
        <f t="shared" si="117"/>
        <v>No</v>
      </c>
      <c r="AS114" t="str">
        <f t="shared" si="118"/>
        <v>No</v>
      </c>
      <c r="AT114" t="str">
        <f t="shared" si="119"/>
        <v>No</v>
      </c>
      <c r="AU114" t="str">
        <f t="shared" si="120"/>
        <v>No</v>
      </c>
      <c r="AV114" t="str">
        <f t="shared" si="121"/>
        <v>No</v>
      </c>
      <c r="AW114" t="str">
        <f t="shared" si="122"/>
        <v>No</v>
      </c>
      <c r="AX114" t="str">
        <f t="shared" si="123"/>
        <v>No</v>
      </c>
      <c r="AY114" t="str">
        <f t="shared" si="124"/>
        <v>No</v>
      </c>
      <c r="AZ114" t="str">
        <f t="shared" si="125"/>
        <v>No</v>
      </c>
      <c r="BA114" t="str">
        <f t="shared" si="126"/>
        <v>No</v>
      </c>
      <c r="BB114" t="str">
        <f t="shared" si="127"/>
        <v>No</v>
      </c>
      <c r="BC114" t="str">
        <f t="shared" si="128"/>
        <v>Yes</v>
      </c>
      <c r="BD114" t="str">
        <f t="shared" si="129"/>
        <v>No</v>
      </c>
      <c r="BF114" t="str">
        <f t="shared" si="130"/>
        <v>No</v>
      </c>
      <c r="BG114" t="str">
        <f t="shared" si="131"/>
        <v>No</v>
      </c>
      <c r="BH114" t="str">
        <f t="shared" si="132"/>
        <v>No</v>
      </c>
      <c r="BI114" t="str">
        <f t="shared" si="133"/>
        <v>No</v>
      </c>
      <c r="BJ114" t="str">
        <f t="shared" si="134"/>
        <v>No</v>
      </c>
      <c r="BK114" t="str">
        <f t="shared" si="135"/>
        <v>No</v>
      </c>
      <c r="BL114" t="str">
        <f t="shared" si="136"/>
        <v>No</v>
      </c>
      <c r="BM114" t="str">
        <f t="shared" si="137"/>
        <v>Yes</v>
      </c>
      <c r="BN114" t="str">
        <f t="shared" si="138"/>
        <v>No</v>
      </c>
      <c r="BQ114" t="str">
        <f t="shared" si="139"/>
        <v>No</v>
      </c>
      <c r="BR114" t="str">
        <f t="shared" si="140"/>
        <v>No</v>
      </c>
      <c r="BS114" t="str">
        <f t="shared" si="141"/>
        <v>No</v>
      </c>
      <c r="BT114" t="str">
        <f t="shared" si="142"/>
        <v>No</v>
      </c>
      <c r="BU114" t="str">
        <f t="shared" si="143"/>
        <v>No</v>
      </c>
      <c r="BV114" t="str">
        <f t="shared" si="144"/>
        <v>No</v>
      </c>
      <c r="BW114" t="str">
        <f t="shared" si="145"/>
        <v>No</v>
      </c>
      <c r="BX114" t="str">
        <f t="shared" si="146"/>
        <v>No</v>
      </c>
      <c r="BY114" t="str">
        <f t="shared" si="147"/>
        <v>No</v>
      </c>
      <c r="BZ114" t="str">
        <f t="shared" si="148"/>
        <v>No</v>
      </c>
      <c r="CA114" t="str">
        <f t="shared" si="149"/>
        <v>No</v>
      </c>
      <c r="CB114" t="str">
        <f t="shared" si="150"/>
        <v>No</v>
      </c>
      <c r="CC114" t="str">
        <f t="shared" si="151"/>
        <v>No</v>
      </c>
      <c r="CD114" t="str">
        <f t="shared" si="152"/>
        <v>No</v>
      </c>
      <c r="CE114" t="str">
        <f t="shared" si="153"/>
        <v>No</v>
      </c>
      <c r="CF114" t="str">
        <f t="shared" si="154"/>
        <v>No</v>
      </c>
      <c r="CG114" t="str">
        <f t="shared" si="155"/>
        <v>No</v>
      </c>
      <c r="CH114" t="str">
        <f t="shared" si="156"/>
        <v>No</v>
      </c>
      <c r="CI114" t="str">
        <f t="shared" si="157"/>
        <v>No</v>
      </c>
      <c r="CJ114" t="str">
        <f t="shared" si="158"/>
        <v>No</v>
      </c>
      <c r="CK114" t="str">
        <f t="shared" si="159"/>
        <v>No</v>
      </c>
      <c r="CL114" t="str">
        <f t="shared" si="160"/>
        <v>No</v>
      </c>
      <c r="CM114" t="str">
        <f t="shared" si="161"/>
        <v>No</v>
      </c>
      <c r="CN114" t="str">
        <f t="shared" si="162"/>
        <v>No</v>
      </c>
      <c r="CO114" t="str">
        <f t="shared" si="163"/>
        <v>No</v>
      </c>
      <c r="CP114" t="str">
        <f t="shared" si="164"/>
        <v>No</v>
      </c>
      <c r="CQ114" t="str">
        <f t="shared" si="165"/>
        <v>No</v>
      </c>
      <c r="CR114" t="str">
        <f t="shared" si="166"/>
        <v>No</v>
      </c>
      <c r="CS114" t="str">
        <f t="shared" si="167"/>
        <v>No</v>
      </c>
      <c r="CT114" t="str">
        <f t="shared" si="168"/>
        <v>No</v>
      </c>
      <c r="CU114" t="str">
        <f t="shared" si="169"/>
        <v>No</v>
      </c>
      <c r="CV114" t="str">
        <f t="shared" si="170"/>
        <v>No</v>
      </c>
      <c r="CW114" t="str">
        <f t="shared" si="171"/>
        <v>No</v>
      </c>
      <c r="CX114" t="str">
        <f t="shared" si="172"/>
        <v>No</v>
      </c>
      <c r="CY114" t="str">
        <f t="shared" si="173"/>
        <v>No</v>
      </c>
      <c r="CZ114" t="str">
        <f t="shared" si="174"/>
        <v>No</v>
      </c>
      <c r="DA114" t="str">
        <f t="shared" si="175"/>
        <v>No</v>
      </c>
      <c r="DB114" t="str">
        <f t="shared" si="176"/>
        <v>No</v>
      </c>
      <c r="DC114" t="str">
        <f t="shared" si="177"/>
        <v>No</v>
      </c>
      <c r="DD114" t="str">
        <f t="shared" si="178"/>
        <v>No</v>
      </c>
      <c r="DE114" t="str">
        <f t="shared" si="179"/>
        <v>No</v>
      </c>
      <c r="DF114" t="str">
        <f t="shared" si="180"/>
        <v>No</v>
      </c>
      <c r="DG114" t="str">
        <f t="shared" si="181"/>
        <v>No</v>
      </c>
      <c r="DH114" t="str">
        <f t="shared" si="182"/>
        <v>Yes</v>
      </c>
      <c r="DI114" t="str">
        <f t="shared" si="183"/>
        <v>No</v>
      </c>
    </row>
    <row r="115" spans="1:113" x14ac:dyDescent="0.25">
      <c r="A115" s="109">
        <v>5</v>
      </c>
      <c r="B115" s="109">
        <v>9</v>
      </c>
      <c r="C115" s="109" t="s">
        <v>357</v>
      </c>
      <c r="D115" s="109" t="s">
        <v>30</v>
      </c>
      <c r="E115" s="109" t="s">
        <v>34</v>
      </c>
      <c r="F115" s="109">
        <v>122</v>
      </c>
      <c r="G115" s="109">
        <v>1026</v>
      </c>
      <c r="H115" s="109">
        <v>9</v>
      </c>
      <c r="I115" s="109">
        <v>37988</v>
      </c>
      <c r="J115" s="109" t="s">
        <v>358</v>
      </c>
      <c r="K115" s="109" t="s">
        <v>323</v>
      </c>
      <c r="L115" s="109">
        <v>19</v>
      </c>
      <c r="M115" s="109">
        <f t="shared" si="186"/>
        <v>5</v>
      </c>
      <c r="N115" s="109" t="s">
        <v>473</v>
      </c>
    </row>
    <row r="116" spans="1:113" x14ac:dyDescent="0.25">
      <c r="A116" s="109">
        <v>6</v>
      </c>
      <c r="B116" s="109">
        <v>7</v>
      </c>
      <c r="C116" s="109" t="s">
        <v>359</v>
      </c>
      <c r="D116" s="109" t="s">
        <v>63</v>
      </c>
      <c r="E116" s="109" t="s">
        <v>52</v>
      </c>
      <c r="F116" s="109">
        <v>123</v>
      </c>
      <c r="G116" s="109">
        <v>1253</v>
      </c>
      <c r="H116" s="109">
        <v>6</v>
      </c>
      <c r="I116" s="109">
        <v>38048</v>
      </c>
      <c r="J116" s="109" t="s">
        <v>360</v>
      </c>
      <c r="K116" s="109" t="s">
        <v>208</v>
      </c>
      <c r="L116" s="109">
        <v>32</v>
      </c>
      <c r="M116" s="109">
        <f t="shared" si="186"/>
        <v>10</v>
      </c>
      <c r="N116" s="109" t="s">
        <v>473</v>
      </c>
    </row>
    <row r="117" spans="1:113" x14ac:dyDescent="0.25">
      <c r="A117" s="109">
        <v>7</v>
      </c>
      <c r="B117" s="109">
        <v>10</v>
      </c>
      <c r="C117" s="109" t="s">
        <v>361</v>
      </c>
      <c r="D117" s="109" t="s">
        <v>45</v>
      </c>
      <c r="E117" s="109" t="s">
        <v>28</v>
      </c>
      <c r="F117" s="109">
        <v>112</v>
      </c>
      <c r="G117" s="109">
        <v>1094</v>
      </c>
      <c r="H117" s="109">
        <v>12</v>
      </c>
      <c r="I117" s="109">
        <v>3</v>
      </c>
      <c r="J117" s="109" t="s">
        <v>362</v>
      </c>
      <c r="K117" s="109" t="s">
        <v>208</v>
      </c>
      <c r="L117" s="109">
        <v>9</v>
      </c>
      <c r="M117" s="109">
        <f t="shared" si="186"/>
        <v>4</v>
      </c>
      <c r="N117" s="109" t="s">
        <v>473</v>
      </c>
    </row>
    <row r="118" spans="1:113" x14ac:dyDescent="0.25">
      <c r="A118" s="109">
        <v>8</v>
      </c>
      <c r="B118" s="109">
        <v>12</v>
      </c>
      <c r="C118" s="109" t="s">
        <v>363</v>
      </c>
      <c r="D118" s="109" t="s">
        <v>65</v>
      </c>
      <c r="E118" s="109" t="s">
        <v>66</v>
      </c>
      <c r="F118" s="109">
        <v>118</v>
      </c>
      <c r="G118" s="109">
        <v>1062</v>
      </c>
      <c r="H118" s="109">
        <v>10</v>
      </c>
      <c r="I118" s="109">
        <v>37260</v>
      </c>
      <c r="J118" s="109" t="s">
        <v>364</v>
      </c>
      <c r="K118" s="109" t="s">
        <v>211</v>
      </c>
      <c r="L118" s="109">
        <v>47</v>
      </c>
      <c r="M118" s="109">
        <f t="shared" si="186"/>
        <v>12</v>
      </c>
      <c r="N118" s="109" t="s">
        <v>473</v>
      </c>
    </row>
    <row r="119" spans="1:113" x14ac:dyDescent="0.25">
      <c r="A119" s="109">
        <v>9</v>
      </c>
      <c r="B119" s="109">
        <v>2</v>
      </c>
      <c r="C119" s="109" t="s">
        <v>365</v>
      </c>
      <c r="D119" s="109" t="s">
        <v>48</v>
      </c>
      <c r="E119" s="109" t="s">
        <v>107</v>
      </c>
      <c r="F119" s="109">
        <v>135</v>
      </c>
      <c r="G119" s="109">
        <v>1162</v>
      </c>
      <c r="H119" s="109">
        <v>8</v>
      </c>
      <c r="I119" s="109">
        <v>37991</v>
      </c>
      <c r="J119" s="109" t="s">
        <v>366</v>
      </c>
      <c r="K119" s="109" t="s">
        <v>214</v>
      </c>
      <c r="L119" s="109">
        <v>25</v>
      </c>
      <c r="M119" s="109">
        <f t="shared" si="186"/>
        <v>9</v>
      </c>
      <c r="N119" s="109" t="s">
        <v>473</v>
      </c>
    </row>
    <row r="120" spans="1:113" x14ac:dyDescent="0.25">
      <c r="A120" s="109">
        <v>10</v>
      </c>
      <c r="B120" s="109">
        <v>3</v>
      </c>
      <c r="C120" s="109" t="s">
        <v>367</v>
      </c>
      <c r="D120" s="109" t="s">
        <v>36</v>
      </c>
      <c r="E120" s="109" t="s">
        <v>37</v>
      </c>
      <c r="F120" s="109">
        <v>129</v>
      </c>
      <c r="G120" s="109">
        <v>1181</v>
      </c>
      <c r="H120" s="109">
        <v>4</v>
      </c>
      <c r="I120" s="109">
        <v>38051</v>
      </c>
      <c r="J120" s="109" t="s">
        <v>368</v>
      </c>
      <c r="K120" s="109" t="s">
        <v>214</v>
      </c>
      <c r="L120" s="109">
        <v>23</v>
      </c>
      <c r="M120" s="109">
        <f t="shared" si="186"/>
        <v>8</v>
      </c>
      <c r="N120" s="109" t="s">
        <v>473</v>
      </c>
    </row>
    <row r="121" spans="1:113" x14ac:dyDescent="0.25">
      <c r="A121" s="109">
        <v>11</v>
      </c>
      <c r="B121" s="109">
        <v>4</v>
      </c>
      <c r="C121" s="109" t="s">
        <v>369</v>
      </c>
      <c r="D121" s="109" t="s">
        <v>51</v>
      </c>
      <c r="E121" s="109" t="s">
        <v>57</v>
      </c>
      <c r="F121" s="109">
        <v>129</v>
      </c>
      <c r="G121" s="109">
        <v>1021</v>
      </c>
      <c r="H121" s="109">
        <v>1</v>
      </c>
      <c r="I121" s="109">
        <v>38051</v>
      </c>
      <c r="J121" s="109" t="s">
        <v>370</v>
      </c>
      <c r="K121" s="109" t="s">
        <v>219</v>
      </c>
      <c r="L121" s="109">
        <v>6.8</v>
      </c>
      <c r="M121" s="109">
        <f t="shared" si="186"/>
        <v>3</v>
      </c>
      <c r="N121" s="109" t="s">
        <v>473</v>
      </c>
    </row>
    <row r="122" spans="1:113" x14ac:dyDescent="0.25">
      <c r="A122" s="109">
        <v>12</v>
      </c>
      <c r="B122" s="109">
        <v>1</v>
      </c>
      <c r="C122" s="109" t="s">
        <v>371</v>
      </c>
      <c r="D122" s="109" t="s">
        <v>33</v>
      </c>
      <c r="E122" s="109" t="s">
        <v>24</v>
      </c>
      <c r="F122" s="109">
        <v>135</v>
      </c>
      <c r="G122" s="109">
        <v>1214</v>
      </c>
      <c r="H122" s="109">
        <v>2</v>
      </c>
      <c r="I122" s="109">
        <v>7</v>
      </c>
      <c r="J122" s="109" t="s">
        <v>372</v>
      </c>
      <c r="K122" s="109" t="s">
        <v>227</v>
      </c>
      <c r="L122" s="109">
        <v>19</v>
      </c>
      <c r="M122" s="109">
        <f t="shared" si="186"/>
        <v>5</v>
      </c>
      <c r="N122" s="109" t="s">
        <v>473</v>
      </c>
    </row>
    <row r="123" spans="1:113" x14ac:dyDescent="0.25">
      <c r="M123" s="109" t="e">
        <f t="shared" si="186"/>
        <v>#N/A</v>
      </c>
      <c r="N123" s="109" t="s">
        <v>473</v>
      </c>
    </row>
    <row r="124" spans="1:113" x14ac:dyDescent="0.25">
      <c r="M124" s="109" t="e">
        <f t="shared" si="186"/>
        <v>#N/A</v>
      </c>
      <c r="N124" s="109" t="s">
        <v>473</v>
      </c>
    </row>
    <row r="125" spans="1:113" x14ac:dyDescent="0.25">
      <c r="A125" s="109" t="s">
        <v>0</v>
      </c>
      <c r="B125" s="109" t="s">
        <v>1</v>
      </c>
      <c r="C125" s="109" t="s">
        <v>2</v>
      </c>
      <c r="D125" s="109" t="s">
        <v>3</v>
      </c>
      <c r="E125" s="109" t="s">
        <v>4</v>
      </c>
      <c r="F125" s="109" t="s">
        <v>167</v>
      </c>
      <c r="G125" s="109" t="s">
        <v>168</v>
      </c>
      <c r="H125" s="109" t="s">
        <v>7</v>
      </c>
      <c r="I125" s="109" t="s">
        <v>169</v>
      </c>
      <c r="J125" s="109" t="s">
        <v>170</v>
      </c>
      <c r="K125" s="109" t="s">
        <v>171</v>
      </c>
      <c r="L125" s="109" t="s">
        <v>172</v>
      </c>
      <c r="M125" s="109" t="s">
        <v>467</v>
      </c>
      <c r="N125" s="109" t="s">
        <v>479</v>
      </c>
    </row>
    <row r="126" spans="1:113" x14ac:dyDescent="0.25">
      <c r="A126" s="109">
        <v>1</v>
      </c>
      <c r="B126" s="109">
        <v>6</v>
      </c>
      <c r="C126" s="109" t="s">
        <v>373</v>
      </c>
      <c r="D126" s="109" t="s">
        <v>36</v>
      </c>
      <c r="E126" s="109" t="s">
        <v>28</v>
      </c>
      <c r="F126" s="109">
        <v>126</v>
      </c>
      <c r="G126" s="109">
        <v>1141</v>
      </c>
      <c r="H126" s="109">
        <v>8</v>
      </c>
      <c r="I126" s="109" t="s">
        <v>21</v>
      </c>
      <c r="J126" s="109" t="s">
        <v>374</v>
      </c>
      <c r="K126" s="109" t="s">
        <v>375</v>
      </c>
      <c r="L126" s="109">
        <v>11</v>
      </c>
      <c r="M126" s="109">
        <f>RANK(L126, $L$126:$L$139,1)</f>
        <v>4</v>
      </c>
      <c r="N126" s="109" t="s">
        <v>472</v>
      </c>
      <c r="O126" t="str">
        <f>IF(AND($L126&gt;=1, $L126&lt;=4), "1-4", "No")</f>
        <v>No</v>
      </c>
      <c r="P126" t="str">
        <f>IF(AND($L126&gt;=5, $L126&lt;=10), "5-10", "No")</f>
        <v>No</v>
      </c>
      <c r="Q126" t="str">
        <f>IF(AND($L126&gt;=11, $L126&lt;=20), "11-20", "No")</f>
        <v>11-20</v>
      </c>
      <c r="R126" t="str">
        <f>IF(AND($L126&gt;=20, $L126&lt;=30), "20-30", "No")</f>
        <v>No</v>
      </c>
      <c r="S126" t="str">
        <f>IF(AND($L126&gt;=30, $L126&lt;=999), "&gt;30", "No")</f>
        <v>No</v>
      </c>
      <c r="T126" t="str">
        <f>IF(AND($H126&gt;=1, $H126&lt;=6), "1-4", "No")</f>
        <v>No</v>
      </c>
      <c r="U126" t="str">
        <f>IF(AND($H126&gt;=5, $H126&lt;=10), "5-10", "No")</f>
        <v>5-10</v>
      </c>
      <c r="V126" t="str">
        <f>IF(AND($H126&gt;=11, $H126&lt;=12), "11-12", "No")</f>
        <v>No</v>
      </c>
      <c r="W126" t="str">
        <f>IF(AND($F126&gt;=0, $F126&lt;=117), "0-117", "No")</f>
        <v>No</v>
      </c>
      <c r="X126" t="str">
        <f>IF(AND($F126&gt;=118, $F126&lt;=127), "118-127", "No")</f>
        <v>118-127</v>
      </c>
      <c r="Y126" t="str">
        <f>IF(AND($F126&gt;=128, $F126&lt;=999), "&gt;128", "No")</f>
        <v>No</v>
      </c>
      <c r="Z126" t="str">
        <f t="shared" si="100"/>
        <v>No</v>
      </c>
      <c r="AA126" t="str">
        <f t="shared" si="101"/>
        <v>No</v>
      </c>
      <c r="AB126" t="str">
        <f t="shared" si="102"/>
        <v>No</v>
      </c>
      <c r="AC126" t="str">
        <f t="shared" si="103"/>
        <v>No</v>
      </c>
      <c r="AD126" t="str">
        <f t="shared" si="104"/>
        <v>No</v>
      </c>
      <c r="AE126" t="str">
        <f t="shared" si="105"/>
        <v>No</v>
      </c>
      <c r="AF126" t="str">
        <f t="shared" si="106"/>
        <v>No</v>
      </c>
      <c r="AG126" t="str">
        <f t="shared" si="107"/>
        <v>Yes</v>
      </c>
      <c r="AH126" t="str">
        <f t="shared" si="108"/>
        <v>No</v>
      </c>
      <c r="AI126" t="str">
        <f t="shared" si="109"/>
        <v>No</v>
      </c>
      <c r="AJ126" t="str">
        <f t="shared" si="110"/>
        <v>No</v>
      </c>
      <c r="AK126" t="str">
        <f t="shared" si="111"/>
        <v>No</v>
      </c>
      <c r="AL126" t="str">
        <f t="shared" si="112"/>
        <v>No</v>
      </c>
      <c r="AM126" t="str">
        <f t="shared" si="113"/>
        <v>No</v>
      </c>
      <c r="AN126" t="str">
        <f t="shared" si="114"/>
        <v>No</v>
      </c>
      <c r="AP126" t="str">
        <f t="shared" si="115"/>
        <v>No</v>
      </c>
      <c r="AQ126" t="str">
        <f t="shared" si="116"/>
        <v>No</v>
      </c>
      <c r="AR126" t="str">
        <f t="shared" si="117"/>
        <v>No</v>
      </c>
      <c r="AS126" t="str">
        <f t="shared" si="118"/>
        <v>No</v>
      </c>
      <c r="AT126" t="str">
        <f t="shared" si="119"/>
        <v>No</v>
      </c>
      <c r="AU126" t="str">
        <f t="shared" si="120"/>
        <v>No</v>
      </c>
      <c r="AV126" t="str">
        <f t="shared" si="121"/>
        <v>No</v>
      </c>
      <c r="AW126" t="str">
        <f t="shared" si="122"/>
        <v>Yes</v>
      </c>
      <c r="AX126" t="str">
        <f t="shared" si="123"/>
        <v>No</v>
      </c>
      <c r="AY126" t="str">
        <f t="shared" si="124"/>
        <v>No</v>
      </c>
      <c r="AZ126" t="str">
        <f t="shared" si="125"/>
        <v>No</v>
      </c>
      <c r="BA126" t="str">
        <f t="shared" si="126"/>
        <v>No</v>
      </c>
      <c r="BB126" t="str">
        <f t="shared" si="127"/>
        <v>No</v>
      </c>
      <c r="BC126" t="str">
        <f t="shared" si="128"/>
        <v>No</v>
      </c>
      <c r="BD126" t="str">
        <f t="shared" si="129"/>
        <v>No</v>
      </c>
      <c r="BF126" t="str">
        <f t="shared" si="130"/>
        <v>No</v>
      </c>
      <c r="BG126" t="str">
        <f t="shared" si="131"/>
        <v>No</v>
      </c>
      <c r="BH126" t="str">
        <f t="shared" si="132"/>
        <v>No</v>
      </c>
      <c r="BI126" t="str">
        <f t="shared" si="133"/>
        <v>No</v>
      </c>
      <c r="BJ126" t="str">
        <f t="shared" si="134"/>
        <v>Yes</v>
      </c>
      <c r="BK126" t="str">
        <f t="shared" si="135"/>
        <v>No</v>
      </c>
      <c r="BL126" t="str">
        <f t="shared" si="136"/>
        <v>No</v>
      </c>
      <c r="BM126" t="str">
        <f t="shared" si="137"/>
        <v>No</v>
      </c>
      <c r="BN126" t="str">
        <f t="shared" si="138"/>
        <v>No</v>
      </c>
      <c r="BQ126" t="str">
        <f t="shared" si="139"/>
        <v>No</v>
      </c>
      <c r="BR126" t="str">
        <f t="shared" si="140"/>
        <v>No</v>
      </c>
      <c r="BS126" t="str">
        <f t="shared" si="141"/>
        <v>No</v>
      </c>
      <c r="BT126" t="str">
        <f t="shared" si="142"/>
        <v>No</v>
      </c>
      <c r="BU126" t="str">
        <f t="shared" si="143"/>
        <v>No</v>
      </c>
      <c r="BV126" t="str">
        <f t="shared" si="144"/>
        <v>No</v>
      </c>
      <c r="BW126" t="str">
        <f t="shared" si="145"/>
        <v>No</v>
      </c>
      <c r="BX126" t="str">
        <f t="shared" si="146"/>
        <v>No</v>
      </c>
      <c r="BY126" t="str">
        <f t="shared" si="147"/>
        <v>No</v>
      </c>
      <c r="BZ126" t="str">
        <f t="shared" si="148"/>
        <v>No</v>
      </c>
      <c r="CA126" t="str">
        <f t="shared" si="149"/>
        <v>No</v>
      </c>
      <c r="CB126" t="str">
        <f t="shared" si="150"/>
        <v>No</v>
      </c>
      <c r="CC126" t="str">
        <f t="shared" si="151"/>
        <v>No</v>
      </c>
      <c r="CD126" t="str">
        <f t="shared" si="152"/>
        <v>No</v>
      </c>
      <c r="CE126" t="str">
        <f t="shared" si="153"/>
        <v>No</v>
      </c>
      <c r="CF126" t="str">
        <f t="shared" si="154"/>
        <v>No</v>
      </c>
      <c r="CG126" t="str">
        <f t="shared" si="155"/>
        <v>No</v>
      </c>
      <c r="CH126" t="str">
        <f t="shared" si="156"/>
        <v>No</v>
      </c>
      <c r="CI126" t="str">
        <f t="shared" si="157"/>
        <v>No</v>
      </c>
      <c r="CJ126" t="str">
        <f t="shared" si="158"/>
        <v>No</v>
      </c>
      <c r="CK126" t="str">
        <f t="shared" si="159"/>
        <v>No</v>
      </c>
      <c r="CL126" t="str">
        <f t="shared" si="160"/>
        <v>No</v>
      </c>
      <c r="CM126" t="str">
        <f t="shared" si="161"/>
        <v>Yes</v>
      </c>
      <c r="CN126" t="str">
        <f t="shared" si="162"/>
        <v>No</v>
      </c>
      <c r="CO126" t="str">
        <f t="shared" si="163"/>
        <v>No</v>
      </c>
      <c r="CP126" t="str">
        <f t="shared" si="164"/>
        <v>No</v>
      </c>
      <c r="CQ126" t="str">
        <f t="shared" si="165"/>
        <v>No</v>
      </c>
      <c r="CR126" t="str">
        <f t="shared" si="166"/>
        <v>No</v>
      </c>
      <c r="CS126" t="str">
        <f t="shared" si="167"/>
        <v>No</v>
      </c>
      <c r="CT126" t="str">
        <f t="shared" si="168"/>
        <v>No</v>
      </c>
      <c r="CU126" t="str">
        <f t="shared" si="169"/>
        <v>No</v>
      </c>
      <c r="CV126" t="str">
        <f t="shared" si="170"/>
        <v>No</v>
      </c>
      <c r="CW126" t="str">
        <f t="shared" si="171"/>
        <v>No</v>
      </c>
      <c r="CX126" t="str">
        <f t="shared" si="172"/>
        <v>No</v>
      </c>
      <c r="CY126" t="str">
        <f t="shared" si="173"/>
        <v>No</v>
      </c>
      <c r="CZ126" t="str">
        <f t="shared" si="174"/>
        <v>No</v>
      </c>
      <c r="DA126" t="str">
        <f t="shared" si="175"/>
        <v>No</v>
      </c>
      <c r="DB126" t="str">
        <f t="shared" si="176"/>
        <v>No</v>
      </c>
      <c r="DC126" t="str">
        <f t="shared" si="177"/>
        <v>No</v>
      </c>
      <c r="DD126" t="str">
        <f t="shared" si="178"/>
        <v>No</v>
      </c>
      <c r="DE126" t="str">
        <f t="shared" si="179"/>
        <v>No</v>
      </c>
      <c r="DF126" t="str">
        <f t="shared" si="180"/>
        <v>No</v>
      </c>
      <c r="DG126" t="str">
        <f t="shared" si="181"/>
        <v>No</v>
      </c>
      <c r="DH126" t="str">
        <f t="shared" si="182"/>
        <v>No</v>
      </c>
      <c r="DI126" t="str">
        <f t="shared" si="183"/>
        <v>No</v>
      </c>
    </row>
    <row r="127" spans="1:113" x14ac:dyDescent="0.25">
      <c r="A127" s="109">
        <v>2</v>
      </c>
      <c r="B127" s="109">
        <v>5</v>
      </c>
      <c r="C127" s="109" t="s">
        <v>376</v>
      </c>
      <c r="D127" s="109" t="s">
        <v>19</v>
      </c>
      <c r="E127" s="109" t="s">
        <v>92</v>
      </c>
      <c r="F127" s="109">
        <v>129</v>
      </c>
      <c r="G127" s="109">
        <v>1086</v>
      </c>
      <c r="H127" s="109">
        <v>12</v>
      </c>
      <c r="I127" s="109">
        <v>38048</v>
      </c>
      <c r="J127" s="109" t="s">
        <v>377</v>
      </c>
      <c r="K127" s="109" t="s">
        <v>378</v>
      </c>
      <c r="L127" s="109">
        <v>24</v>
      </c>
      <c r="M127" s="109">
        <f t="shared" ref="M127:M139" si="187">RANK(L127, $L$126:$L$139,1)</f>
        <v>11</v>
      </c>
      <c r="N127" s="109" t="s">
        <v>472</v>
      </c>
      <c r="O127" t="str">
        <f>IF(AND($L127&gt;=1, $L127&lt;=4), "1-4", "No")</f>
        <v>No</v>
      </c>
      <c r="P127" t="str">
        <f>IF(AND($L127&gt;=5, $L127&lt;=10), "5-10", "No")</f>
        <v>No</v>
      </c>
      <c r="Q127" t="str">
        <f>IF(AND($L127&gt;=11, $L127&lt;=20), "11-20", "No")</f>
        <v>No</v>
      </c>
      <c r="R127" t="str">
        <f>IF(AND($L127&gt;=20, $L127&lt;=30), "20-30", "No")</f>
        <v>20-30</v>
      </c>
      <c r="S127" t="str">
        <f>IF(AND($L127&gt;=30, $L127&lt;=999), "&gt;30", "No")</f>
        <v>No</v>
      </c>
      <c r="T127" t="str">
        <f>IF(AND($H127&gt;=1, $H127&lt;=6), "1-4", "No")</f>
        <v>No</v>
      </c>
      <c r="U127" t="str">
        <f>IF(AND($H127&gt;=5, $H127&lt;=10), "5-10", "No")</f>
        <v>No</v>
      </c>
      <c r="V127" t="str">
        <f>IF(AND($H127&gt;=11, $H127&lt;=12), "11-12", "No")</f>
        <v>11-12</v>
      </c>
      <c r="W127" t="str">
        <f>IF(AND($F127&gt;=0, $F127&lt;=117), "0-117", "No")</f>
        <v>No</v>
      </c>
      <c r="X127" t="str">
        <f>IF(AND($F127&gt;=118, $F127&lt;=127), "118-127", "No")</f>
        <v>No</v>
      </c>
      <c r="Y127" t="str">
        <f>IF(AND($F127&gt;=128, $F127&lt;=999), "&gt;128", "No")</f>
        <v>&gt;128</v>
      </c>
      <c r="Z127" t="str">
        <f t="shared" si="100"/>
        <v>No</v>
      </c>
      <c r="AA127" t="str">
        <f t="shared" si="101"/>
        <v>No</v>
      </c>
      <c r="AB127" t="str">
        <f t="shared" si="102"/>
        <v>No</v>
      </c>
      <c r="AC127" t="str">
        <f t="shared" si="103"/>
        <v>No</v>
      </c>
      <c r="AD127" t="str">
        <f t="shared" si="104"/>
        <v>No</v>
      </c>
      <c r="AE127" t="str">
        <f t="shared" si="105"/>
        <v>No</v>
      </c>
      <c r="AF127" t="str">
        <f t="shared" si="106"/>
        <v>No</v>
      </c>
      <c r="AG127" t="str">
        <f t="shared" si="107"/>
        <v>No</v>
      </c>
      <c r="AH127" t="str">
        <f t="shared" si="108"/>
        <v>No</v>
      </c>
      <c r="AI127" t="str">
        <f t="shared" si="109"/>
        <v>No</v>
      </c>
      <c r="AJ127" t="str">
        <f t="shared" si="110"/>
        <v>No</v>
      </c>
      <c r="AK127" t="str">
        <f t="shared" si="111"/>
        <v>Yes</v>
      </c>
      <c r="AL127" t="str">
        <f t="shared" si="112"/>
        <v>No</v>
      </c>
      <c r="AM127" t="str">
        <f t="shared" si="113"/>
        <v>No</v>
      </c>
      <c r="AN127" t="str">
        <f t="shared" si="114"/>
        <v>No</v>
      </c>
      <c r="AP127" t="str">
        <f t="shared" si="115"/>
        <v>No</v>
      </c>
      <c r="AQ127" t="str">
        <f t="shared" si="116"/>
        <v>No</v>
      </c>
      <c r="AR127" t="str">
        <f t="shared" si="117"/>
        <v>No</v>
      </c>
      <c r="AS127" t="str">
        <f t="shared" si="118"/>
        <v>No</v>
      </c>
      <c r="AT127" t="str">
        <f t="shared" si="119"/>
        <v>No</v>
      </c>
      <c r="AU127" t="str">
        <f t="shared" si="120"/>
        <v>No</v>
      </c>
      <c r="AV127" t="str">
        <f t="shared" si="121"/>
        <v>No</v>
      </c>
      <c r="AW127" t="str">
        <f t="shared" si="122"/>
        <v>No</v>
      </c>
      <c r="AX127" t="str">
        <f t="shared" si="123"/>
        <v>No</v>
      </c>
      <c r="AY127" t="str">
        <f t="shared" si="124"/>
        <v>No</v>
      </c>
      <c r="AZ127" t="str">
        <f t="shared" si="125"/>
        <v>No</v>
      </c>
      <c r="BA127" t="str">
        <f t="shared" si="126"/>
        <v>Yes</v>
      </c>
      <c r="BB127" t="str">
        <f t="shared" si="127"/>
        <v>No</v>
      </c>
      <c r="BC127" t="str">
        <f t="shared" si="128"/>
        <v>No</v>
      </c>
      <c r="BD127" t="str">
        <f t="shared" si="129"/>
        <v>No</v>
      </c>
      <c r="BF127" t="str">
        <f t="shared" si="130"/>
        <v>No</v>
      </c>
      <c r="BG127" t="str">
        <f t="shared" si="131"/>
        <v>No</v>
      </c>
      <c r="BH127" t="str">
        <f t="shared" si="132"/>
        <v>No</v>
      </c>
      <c r="BI127" t="str">
        <f t="shared" si="133"/>
        <v>No</v>
      </c>
      <c r="BJ127" t="str">
        <f t="shared" si="134"/>
        <v>No</v>
      </c>
      <c r="BK127" t="str">
        <f t="shared" si="135"/>
        <v>No</v>
      </c>
      <c r="BL127" t="str">
        <f t="shared" si="136"/>
        <v>No</v>
      </c>
      <c r="BM127" t="str">
        <f t="shared" si="137"/>
        <v>No</v>
      </c>
      <c r="BN127" t="str">
        <f t="shared" si="138"/>
        <v>Yes</v>
      </c>
      <c r="BQ127" t="str">
        <f t="shared" si="139"/>
        <v>No</v>
      </c>
      <c r="BR127" t="str">
        <f t="shared" si="140"/>
        <v>No</v>
      </c>
      <c r="BS127" t="str">
        <f t="shared" si="141"/>
        <v>No</v>
      </c>
      <c r="BT127" t="str">
        <f t="shared" si="142"/>
        <v>No</v>
      </c>
      <c r="BU127" t="str">
        <f t="shared" si="143"/>
        <v>No</v>
      </c>
      <c r="BV127" t="str">
        <f t="shared" si="144"/>
        <v>No</v>
      </c>
      <c r="BW127" t="str">
        <f t="shared" si="145"/>
        <v>No</v>
      </c>
      <c r="BX127" t="str">
        <f t="shared" si="146"/>
        <v>No</v>
      </c>
      <c r="BY127" t="str">
        <f t="shared" si="147"/>
        <v>No</v>
      </c>
      <c r="BZ127" t="str">
        <f t="shared" si="148"/>
        <v>No</v>
      </c>
      <c r="CA127" t="str">
        <f t="shared" si="149"/>
        <v>No</v>
      </c>
      <c r="CB127" t="str">
        <f t="shared" si="150"/>
        <v>No</v>
      </c>
      <c r="CC127" t="str">
        <f t="shared" si="151"/>
        <v>No</v>
      </c>
      <c r="CD127" t="str">
        <f t="shared" si="152"/>
        <v>No</v>
      </c>
      <c r="CE127" t="str">
        <f t="shared" si="153"/>
        <v>No</v>
      </c>
      <c r="CF127" t="str">
        <f t="shared" si="154"/>
        <v>No</v>
      </c>
      <c r="CG127" t="str">
        <f t="shared" si="155"/>
        <v>No</v>
      </c>
      <c r="CH127" t="str">
        <f t="shared" si="156"/>
        <v>No</v>
      </c>
      <c r="CI127" t="str">
        <f t="shared" si="157"/>
        <v>No</v>
      </c>
      <c r="CJ127" t="str">
        <f t="shared" si="158"/>
        <v>No</v>
      </c>
      <c r="CK127" t="str">
        <f t="shared" si="159"/>
        <v>No</v>
      </c>
      <c r="CL127" t="str">
        <f t="shared" si="160"/>
        <v>No</v>
      </c>
      <c r="CM127" t="str">
        <f t="shared" si="161"/>
        <v>No</v>
      </c>
      <c r="CN127" t="str">
        <f t="shared" si="162"/>
        <v>No</v>
      </c>
      <c r="CO127" t="str">
        <f t="shared" si="163"/>
        <v>No</v>
      </c>
      <c r="CP127" t="str">
        <f t="shared" si="164"/>
        <v>No</v>
      </c>
      <c r="CQ127" t="str">
        <f t="shared" si="165"/>
        <v>No</v>
      </c>
      <c r="CR127" t="str">
        <f t="shared" si="166"/>
        <v>No</v>
      </c>
      <c r="CS127" t="str">
        <f t="shared" si="167"/>
        <v>No</v>
      </c>
      <c r="CT127" t="str">
        <f t="shared" si="168"/>
        <v>No</v>
      </c>
      <c r="CU127" t="str">
        <f t="shared" si="169"/>
        <v>No</v>
      </c>
      <c r="CV127" t="str">
        <f t="shared" si="170"/>
        <v>No</v>
      </c>
      <c r="CW127" t="str">
        <f t="shared" si="171"/>
        <v>No</v>
      </c>
      <c r="CX127" t="str">
        <f t="shared" si="172"/>
        <v>No</v>
      </c>
      <c r="CY127" t="str">
        <f t="shared" si="173"/>
        <v>No</v>
      </c>
      <c r="CZ127" t="str">
        <f t="shared" si="174"/>
        <v>Yes</v>
      </c>
      <c r="DA127" t="str">
        <f t="shared" si="175"/>
        <v>No</v>
      </c>
      <c r="DB127" t="str">
        <f t="shared" si="176"/>
        <v>No</v>
      </c>
      <c r="DC127" t="str">
        <f t="shared" si="177"/>
        <v>No</v>
      </c>
      <c r="DD127" t="str">
        <f t="shared" si="178"/>
        <v>No</v>
      </c>
      <c r="DE127" t="str">
        <f t="shared" si="179"/>
        <v>No</v>
      </c>
      <c r="DF127" t="str">
        <f t="shared" si="180"/>
        <v>No</v>
      </c>
      <c r="DG127" t="str">
        <f t="shared" si="181"/>
        <v>No</v>
      </c>
      <c r="DH127" t="str">
        <f t="shared" si="182"/>
        <v>No</v>
      </c>
      <c r="DI127" t="str">
        <f t="shared" si="183"/>
        <v>No</v>
      </c>
    </row>
    <row r="128" spans="1:113" x14ac:dyDescent="0.25">
      <c r="A128" s="109">
        <v>3</v>
      </c>
      <c r="B128" s="109">
        <v>2</v>
      </c>
      <c r="C128" s="109" t="s">
        <v>379</v>
      </c>
      <c r="D128" s="109" t="s">
        <v>23</v>
      </c>
      <c r="E128" s="109" t="s">
        <v>20</v>
      </c>
      <c r="F128" s="109">
        <v>135</v>
      </c>
      <c r="G128" s="109">
        <v>1064</v>
      </c>
      <c r="H128" s="109">
        <v>5</v>
      </c>
      <c r="I128" s="109">
        <v>4</v>
      </c>
      <c r="J128" s="109" t="s">
        <v>380</v>
      </c>
      <c r="K128" s="109" t="s">
        <v>381</v>
      </c>
      <c r="L128" s="109">
        <v>4.4000000000000004</v>
      </c>
      <c r="M128" s="109">
        <f t="shared" si="187"/>
        <v>2</v>
      </c>
      <c r="N128" s="109" t="s">
        <v>472</v>
      </c>
      <c r="O128" t="str">
        <f>IF(AND($L128&gt;=1, $L128&lt;=4), "1-4", "No")</f>
        <v>No</v>
      </c>
      <c r="P128" t="str">
        <f>IF(AND($L128&gt;=5, $L128&lt;=10), "5-10", "No")</f>
        <v>No</v>
      </c>
      <c r="Q128" t="str">
        <f>IF(AND($L128&gt;=11, $L128&lt;=20), "11-20", "No")</f>
        <v>No</v>
      </c>
      <c r="R128" t="str">
        <f>IF(AND($L128&gt;=20, $L128&lt;=30), "20-30", "No")</f>
        <v>No</v>
      </c>
      <c r="S128" t="str">
        <f>IF(AND($L128&gt;=30, $L128&lt;=999), "&gt;30", "No")</f>
        <v>No</v>
      </c>
      <c r="T128" t="str">
        <f>IF(AND($H128&gt;=1, $H128&lt;=6), "1-4", "No")</f>
        <v>1-4</v>
      </c>
      <c r="U128" t="str">
        <f>IF(AND($H128&gt;=5, $H128&lt;=10), "5-10", "No")</f>
        <v>5-10</v>
      </c>
      <c r="V128" t="str">
        <f>IF(AND($H128&gt;=11, $H128&lt;=12), "11-12", "No")</f>
        <v>No</v>
      </c>
      <c r="W128" t="str">
        <f>IF(AND($F128&gt;=0, $F128&lt;=117), "0-117", "No")</f>
        <v>No</v>
      </c>
      <c r="X128" t="str">
        <f>IF(AND($F128&gt;=118, $F128&lt;=127), "118-127", "No")</f>
        <v>No</v>
      </c>
      <c r="Y128" t="str">
        <f>IF(AND($F128&gt;=128, $F128&lt;=999), "&gt;128", "No")</f>
        <v>&gt;128</v>
      </c>
      <c r="Z128" t="str">
        <f t="shared" si="100"/>
        <v>No</v>
      </c>
      <c r="AA128" t="str">
        <f t="shared" si="101"/>
        <v>No</v>
      </c>
      <c r="AB128" t="str">
        <f t="shared" si="102"/>
        <v>No</v>
      </c>
      <c r="AC128" t="str">
        <f t="shared" si="103"/>
        <v>No</v>
      </c>
      <c r="AD128" t="str">
        <f t="shared" si="104"/>
        <v>Yes</v>
      </c>
      <c r="AE128" t="str">
        <f t="shared" si="105"/>
        <v>No</v>
      </c>
      <c r="AF128" t="str">
        <f t="shared" si="106"/>
        <v>No</v>
      </c>
      <c r="AG128" t="str">
        <f t="shared" si="107"/>
        <v>No</v>
      </c>
      <c r="AH128" t="str">
        <f t="shared" si="108"/>
        <v>No</v>
      </c>
      <c r="AI128" t="str">
        <f t="shared" si="109"/>
        <v>No</v>
      </c>
      <c r="AJ128" t="str">
        <f t="shared" si="110"/>
        <v>No</v>
      </c>
      <c r="AK128" t="str">
        <f t="shared" si="111"/>
        <v>No</v>
      </c>
      <c r="AL128" t="str">
        <f t="shared" si="112"/>
        <v>No</v>
      </c>
      <c r="AM128" t="str">
        <f t="shared" si="113"/>
        <v>No</v>
      </c>
      <c r="AN128" t="str">
        <f t="shared" si="114"/>
        <v>No</v>
      </c>
      <c r="AP128" t="str">
        <f t="shared" si="115"/>
        <v>No</v>
      </c>
      <c r="AQ128" t="str">
        <f t="shared" si="116"/>
        <v>No</v>
      </c>
      <c r="AR128" t="str">
        <f t="shared" si="117"/>
        <v>No</v>
      </c>
      <c r="AS128" t="str">
        <f t="shared" si="118"/>
        <v>No</v>
      </c>
      <c r="AT128" t="str">
        <f t="shared" si="119"/>
        <v>No</v>
      </c>
      <c r="AU128" t="str">
        <f t="shared" si="120"/>
        <v>Yes</v>
      </c>
      <c r="AV128" t="str">
        <f t="shared" si="121"/>
        <v>No</v>
      </c>
      <c r="AW128" t="str">
        <f t="shared" si="122"/>
        <v>No</v>
      </c>
      <c r="AX128" t="str">
        <f t="shared" si="123"/>
        <v>No</v>
      </c>
      <c r="AY128" t="str">
        <f t="shared" si="124"/>
        <v>No</v>
      </c>
      <c r="AZ128" t="str">
        <f t="shared" si="125"/>
        <v>No</v>
      </c>
      <c r="BA128" t="str">
        <f t="shared" si="126"/>
        <v>No</v>
      </c>
      <c r="BB128" t="str">
        <f t="shared" si="127"/>
        <v>No</v>
      </c>
      <c r="BC128" t="str">
        <f t="shared" si="128"/>
        <v>No</v>
      </c>
      <c r="BD128" t="str">
        <f t="shared" si="129"/>
        <v>No</v>
      </c>
      <c r="BF128" t="str">
        <f t="shared" si="130"/>
        <v>No</v>
      </c>
      <c r="BG128" t="str">
        <f t="shared" si="131"/>
        <v>No</v>
      </c>
      <c r="BH128" t="str">
        <f t="shared" si="132"/>
        <v>No</v>
      </c>
      <c r="BI128" t="str">
        <f t="shared" si="133"/>
        <v>No</v>
      </c>
      <c r="BJ128" t="str">
        <f t="shared" si="134"/>
        <v>No</v>
      </c>
      <c r="BK128" t="str">
        <f t="shared" si="135"/>
        <v>Yes</v>
      </c>
      <c r="BL128" t="str">
        <f t="shared" si="136"/>
        <v>No</v>
      </c>
      <c r="BM128" t="str">
        <f t="shared" si="137"/>
        <v>No</v>
      </c>
      <c r="BN128" t="str">
        <f t="shared" si="138"/>
        <v>No</v>
      </c>
      <c r="BQ128" t="str">
        <f t="shared" si="139"/>
        <v>No</v>
      </c>
      <c r="BR128" t="str">
        <f t="shared" si="140"/>
        <v>No</v>
      </c>
      <c r="BS128" t="str">
        <f t="shared" si="141"/>
        <v>No</v>
      </c>
      <c r="BT128" t="str">
        <f t="shared" si="142"/>
        <v>No</v>
      </c>
      <c r="BU128" t="str">
        <f t="shared" si="143"/>
        <v>No</v>
      </c>
      <c r="BV128" t="str">
        <f t="shared" si="144"/>
        <v>No</v>
      </c>
      <c r="BW128" t="str">
        <f t="shared" si="145"/>
        <v>No</v>
      </c>
      <c r="BX128" t="str">
        <f t="shared" si="146"/>
        <v>No</v>
      </c>
      <c r="BY128" t="str">
        <f t="shared" si="147"/>
        <v>No</v>
      </c>
      <c r="BZ128" t="str">
        <f t="shared" si="148"/>
        <v>No</v>
      </c>
      <c r="CA128" t="str">
        <f t="shared" si="149"/>
        <v>No</v>
      </c>
      <c r="CB128" t="str">
        <f t="shared" si="150"/>
        <v>No</v>
      </c>
      <c r="CC128" t="str">
        <f t="shared" si="151"/>
        <v>No</v>
      </c>
      <c r="CD128" t="str">
        <f t="shared" si="152"/>
        <v>No</v>
      </c>
      <c r="CE128" t="str">
        <f t="shared" si="153"/>
        <v>No</v>
      </c>
      <c r="CF128" t="str">
        <f t="shared" si="154"/>
        <v>No</v>
      </c>
      <c r="CG128" t="str">
        <f t="shared" si="155"/>
        <v>No</v>
      </c>
      <c r="CH128" t="str">
        <f t="shared" si="156"/>
        <v>No</v>
      </c>
      <c r="CI128" t="str">
        <f t="shared" si="157"/>
        <v>No</v>
      </c>
      <c r="CJ128" t="str">
        <f t="shared" si="158"/>
        <v>No</v>
      </c>
      <c r="CK128" t="str">
        <f t="shared" si="159"/>
        <v>No</v>
      </c>
      <c r="CL128" t="str">
        <f t="shared" si="160"/>
        <v>No</v>
      </c>
      <c r="CM128" t="str">
        <f t="shared" si="161"/>
        <v>No</v>
      </c>
      <c r="CN128" t="str">
        <f t="shared" si="162"/>
        <v>No</v>
      </c>
      <c r="CO128" t="str">
        <f t="shared" si="163"/>
        <v>No</v>
      </c>
      <c r="CP128" t="str">
        <f t="shared" si="164"/>
        <v>No</v>
      </c>
      <c r="CQ128" t="str">
        <f t="shared" si="165"/>
        <v>No</v>
      </c>
      <c r="CR128" t="str">
        <f t="shared" si="166"/>
        <v>No</v>
      </c>
      <c r="CS128" t="str">
        <f t="shared" si="167"/>
        <v>No</v>
      </c>
      <c r="CT128" t="str">
        <f t="shared" si="168"/>
        <v>No</v>
      </c>
      <c r="CU128" t="str">
        <f t="shared" si="169"/>
        <v>No</v>
      </c>
      <c r="CV128" t="str">
        <f t="shared" si="170"/>
        <v>No</v>
      </c>
      <c r="CW128" t="str">
        <f t="shared" si="171"/>
        <v>No</v>
      </c>
      <c r="CX128" t="str">
        <f t="shared" si="172"/>
        <v>No</v>
      </c>
      <c r="CY128" t="str">
        <f t="shared" si="173"/>
        <v>No</v>
      </c>
      <c r="CZ128" t="str">
        <f t="shared" si="174"/>
        <v>No</v>
      </c>
      <c r="DA128" t="str">
        <f t="shared" si="175"/>
        <v>No</v>
      </c>
      <c r="DB128" t="str">
        <f t="shared" si="176"/>
        <v>No</v>
      </c>
      <c r="DC128" t="str">
        <f t="shared" si="177"/>
        <v>No</v>
      </c>
      <c r="DD128" t="str">
        <f t="shared" si="178"/>
        <v>No</v>
      </c>
      <c r="DE128" t="str">
        <f t="shared" si="179"/>
        <v>No</v>
      </c>
      <c r="DF128" t="str">
        <f t="shared" si="180"/>
        <v>No</v>
      </c>
      <c r="DG128" t="str">
        <f t="shared" si="181"/>
        <v>No</v>
      </c>
      <c r="DH128" t="str">
        <f t="shared" si="182"/>
        <v>No</v>
      </c>
      <c r="DI128" t="str">
        <f t="shared" si="183"/>
        <v>No</v>
      </c>
    </row>
    <row r="129" spans="1:113" x14ac:dyDescent="0.25">
      <c r="A129" s="109">
        <v>4</v>
      </c>
      <c r="B129" s="109">
        <v>9</v>
      </c>
      <c r="C129" s="109" t="s">
        <v>382</v>
      </c>
      <c r="D129" s="109" t="s">
        <v>42</v>
      </c>
      <c r="E129" s="109" t="s">
        <v>24</v>
      </c>
      <c r="F129" s="109">
        <v>125</v>
      </c>
      <c r="G129" s="109">
        <v>1109</v>
      </c>
      <c r="H129" s="109">
        <v>11</v>
      </c>
      <c r="I129" s="109">
        <v>37990</v>
      </c>
      <c r="J129" s="109" t="s">
        <v>383</v>
      </c>
      <c r="K129" s="109" t="s">
        <v>381</v>
      </c>
      <c r="L129" s="109">
        <v>12</v>
      </c>
      <c r="M129" s="109">
        <f t="shared" si="187"/>
        <v>6</v>
      </c>
      <c r="N129" s="109" t="s">
        <v>472</v>
      </c>
      <c r="O129" t="str">
        <f>IF(AND($L129&gt;=1, $L129&lt;=4), "1-4", "No")</f>
        <v>No</v>
      </c>
      <c r="P129" t="str">
        <f>IF(AND($L129&gt;=5, $L129&lt;=10), "5-10", "No")</f>
        <v>No</v>
      </c>
      <c r="Q129" t="str">
        <f>IF(AND($L129&gt;=11, $L129&lt;=20), "11-20", "No")</f>
        <v>11-20</v>
      </c>
      <c r="R129" t="str">
        <f>IF(AND($L129&gt;=20, $L129&lt;=30), "20-30", "No")</f>
        <v>No</v>
      </c>
      <c r="S129" t="str">
        <f>IF(AND($L129&gt;=30, $L129&lt;=999), "&gt;30", "No")</f>
        <v>No</v>
      </c>
      <c r="T129" t="str">
        <f>IF(AND($H129&gt;=1, $H129&lt;=6), "1-4", "No")</f>
        <v>No</v>
      </c>
      <c r="U129" t="str">
        <f>IF(AND($H129&gt;=5, $H129&lt;=10), "5-10", "No")</f>
        <v>No</v>
      </c>
      <c r="V129" t="str">
        <f>IF(AND($H129&gt;=11, $H129&lt;=12), "11-12", "No")</f>
        <v>11-12</v>
      </c>
      <c r="W129" t="str">
        <f>IF(AND($F129&gt;=0, $F129&lt;=117), "0-117", "No")</f>
        <v>No</v>
      </c>
      <c r="X129" t="str">
        <f>IF(AND($F129&gt;=118, $F129&lt;=127), "118-127", "No")</f>
        <v>118-127</v>
      </c>
      <c r="Y129" t="str">
        <f>IF(AND($F129&gt;=128, $F129&lt;=999), "&gt;128", "No")</f>
        <v>No</v>
      </c>
      <c r="Z129" t="str">
        <f t="shared" si="100"/>
        <v>No</v>
      </c>
      <c r="AA129" t="str">
        <f t="shared" si="101"/>
        <v>No</v>
      </c>
      <c r="AB129" t="str">
        <f t="shared" si="102"/>
        <v>No</v>
      </c>
      <c r="AC129" t="str">
        <f t="shared" si="103"/>
        <v>No</v>
      </c>
      <c r="AD129" t="str">
        <f t="shared" si="104"/>
        <v>No</v>
      </c>
      <c r="AE129" t="str">
        <f t="shared" si="105"/>
        <v>No</v>
      </c>
      <c r="AF129" t="str">
        <f t="shared" si="106"/>
        <v>No</v>
      </c>
      <c r="AG129" t="str">
        <f t="shared" si="107"/>
        <v>No</v>
      </c>
      <c r="AH129" t="str">
        <f t="shared" si="108"/>
        <v>Yes</v>
      </c>
      <c r="AI129" t="str">
        <f t="shared" si="109"/>
        <v>No</v>
      </c>
      <c r="AJ129" t="str">
        <f t="shared" si="110"/>
        <v>No</v>
      </c>
      <c r="AK129" t="str">
        <f t="shared" si="111"/>
        <v>No</v>
      </c>
      <c r="AL129" t="str">
        <f t="shared" si="112"/>
        <v>No</v>
      </c>
      <c r="AM129" t="str">
        <f t="shared" si="113"/>
        <v>No</v>
      </c>
      <c r="AN129" t="str">
        <f t="shared" si="114"/>
        <v>No</v>
      </c>
      <c r="AP129" t="str">
        <f t="shared" si="115"/>
        <v>No</v>
      </c>
      <c r="AQ129" t="str">
        <f t="shared" si="116"/>
        <v>No</v>
      </c>
      <c r="AR129" t="str">
        <f t="shared" si="117"/>
        <v>No</v>
      </c>
      <c r="AS129" t="str">
        <f t="shared" si="118"/>
        <v>No</v>
      </c>
      <c r="AT129" t="str">
        <f t="shared" si="119"/>
        <v>No</v>
      </c>
      <c r="AU129" t="str">
        <f t="shared" si="120"/>
        <v>No</v>
      </c>
      <c r="AV129" t="str">
        <f t="shared" si="121"/>
        <v>No</v>
      </c>
      <c r="AW129" t="str">
        <f t="shared" si="122"/>
        <v>Yes</v>
      </c>
      <c r="AX129" t="str">
        <f t="shared" si="123"/>
        <v>No</v>
      </c>
      <c r="AY129" t="str">
        <f t="shared" si="124"/>
        <v>No</v>
      </c>
      <c r="AZ129" t="str">
        <f t="shared" si="125"/>
        <v>No</v>
      </c>
      <c r="BA129" t="str">
        <f t="shared" si="126"/>
        <v>No</v>
      </c>
      <c r="BB129" t="str">
        <f t="shared" si="127"/>
        <v>No</v>
      </c>
      <c r="BC129" t="str">
        <f t="shared" si="128"/>
        <v>No</v>
      </c>
      <c r="BD129" t="str">
        <f t="shared" si="129"/>
        <v>No</v>
      </c>
      <c r="BF129" t="str">
        <f t="shared" si="130"/>
        <v>No</v>
      </c>
      <c r="BG129" t="str">
        <f t="shared" si="131"/>
        <v>No</v>
      </c>
      <c r="BH129" t="str">
        <f t="shared" si="132"/>
        <v>No</v>
      </c>
      <c r="BI129" t="str">
        <f t="shared" si="133"/>
        <v>No</v>
      </c>
      <c r="BJ129" t="str">
        <f t="shared" si="134"/>
        <v>No</v>
      </c>
      <c r="BK129" t="str">
        <f t="shared" si="135"/>
        <v>No</v>
      </c>
      <c r="BL129" t="str">
        <f t="shared" si="136"/>
        <v>No</v>
      </c>
      <c r="BM129" t="str">
        <f t="shared" si="137"/>
        <v>Yes</v>
      </c>
      <c r="BN129" t="str">
        <f t="shared" si="138"/>
        <v>No</v>
      </c>
      <c r="BQ129" t="str">
        <f t="shared" si="139"/>
        <v>No</v>
      </c>
      <c r="BR129" t="str">
        <f t="shared" si="140"/>
        <v>No</v>
      </c>
      <c r="BS129" t="str">
        <f t="shared" si="141"/>
        <v>No</v>
      </c>
      <c r="BT129" t="str">
        <f t="shared" si="142"/>
        <v>No</v>
      </c>
      <c r="BU129" t="str">
        <f t="shared" si="143"/>
        <v>No</v>
      </c>
      <c r="BV129" t="str">
        <f t="shared" si="144"/>
        <v>No</v>
      </c>
      <c r="BW129" t="str">
        <f t="shared" si="145"/>
        <v>No</v>
      </c>
      <c r="BX129" t="str">
        <f t="shared" si="146"/>
        <v>No</v>
      </c>
      <c r="BY129" t="str">
        <f t="shared" si="147"/>
        <v>No</v>
      </c>
      <c r="BZ129" t="str">
        <f t="shared" si="148"/>
        <v>No</v>
      </c>
      <c r="CA129" t="str">
        <f t="shared" si="149"/>
        <v>No</v>
      </c>
      <c r="CB129" t="str">
        <f t="shared" si="150"/>
        <v>No</v>
      </c>
      <c r="CC129" t="str">
        <f t="shared" si="151"/>
        <v>No</v>
      </c>
      <c r="CD129" t="str">
        <f t="shared" si="152"/>
        <v>No</v>
      </c>
      <c r="CE129" t="str">
        <f t="shared" si="153"/>
        <v>No</v>
      </c>
      <c r="CF129" t="str">
        <f t="shared" si="154"/>
        <v>No</v>
      </c>
      <c r="CG129" t="str">
        <f t="shared" si="155"/>
        <v>No</v>
      </c>
      <c r="CH129" t="str">
        <f t="shared" si="156"/>
        <v>No</v>
      </c>
      <c r="CI129" t="str">
        <f t="shared" si="157"/>
        <v>No</v>
      </c>
      <c r="CJ129" t="str">
        <f t="shared" si="158"/>
        <v>No</v>
      </c>
      <c r="CK129" t="str">
        <f t="shared" si="159"/>
        <v>No</v>
      </c>
      <c r="CL129" t="str">
        <f t="shared" si="160"/>
        <v>No</v>
      </c>
      <c r="CM129" t="str">
        <f t="shared" si="161"/>
        <v>No</v>
      </c>
      <c r="CN129" t="str">
        <f t="shared" si="162"/>
        <v>No</v>
      </c>
      <c r="CO129" t="str">
        <f t="shared" si="163"/>
        <v>No</v>
      </c>
      <c r="CP129" t="str">
        <f t="shared" si="164"/>
        <v>Yes</v>
      </c>
      <c r="CQ129" t="str">
        <f t="shared" si="165"/>
        <v>No</v>
      </c>
      <c r="CR129" t="str">
        <f t="shared" si="166"/>
        <v>No</v>
      </c>
      <c r="CS129" t="str">
        <f t="shared" si="167"/>
        <v>No</v>
      </c>
      <c r="CT129" t="str">
        <f t="shared" si="168"/>
        <v>No</v>
      </c>
      <c r="CU129" t="str">
        <f t="shared" si="169"/>
        <v>No</v>
      </c>
      <c r="CV129" t="str">
        <f t="shared" si="170"/>
        <v>No</v>
      </c>
      <c r="CW129" t="str">
        <f t="shared" si="171"/>
        <v>No</v>
      </c>
      <c r="CX129" t="str">
        <f t="shared" si="172"/>
        <v>No</v>
      </c>
      <c r="CY129" t="str">
        <f t="shared" si="173"/>
        <v>No</v>
      </c>
      <c r="CZ129" t="str">
        <f t="shared" si="174"/>
        <v>No</v>
      </c>
      <c r="DA129" t="str">
        <f t="shared" si="175"/>
        <v>No</v>
      </c>
      <c r="DB129" t="str">
        <f t="shared" si="176"/>
        <v>No</v>
      </c>
      <c r="DC129" t="str">
        <f t="shared" si="177"/>
        <v>No</v>
      </c>
      <c r="DD129" t="str">
        <f t="shared" si="178"/>
        <v>No</v>
      </c>
      <c r="DE129" t="str">
        <f t="shared" si="179"/>
        <v>No</v>
      </c>
      <c r="DF129" t="str">
        <f t="shared" si="180"/>
        <v>No</v>
      </c>
      <c r="DG129" t="str">
        <f t="shared" si="181"/>
        <v>No</v>
      </c>
      <c r="DH129" t="str">
        <f t="shared" si="182"/>
        <v>No</v>
      </c>
      <c r="DI129" t="str">
        <f t="shared" si="183"/>
        <v>No</v>
      </c>
    </row>
    <row r="130" spans="1:113" x14ac:dyDescent="0.25">
      <c r="A130" s="109">
        <v>5</v>
      </c>
      <c r="B130" s="109">
        <v>10</v>
      </c>
      <c r="C130" s="109" t="s">
        <v>384</v>
      </c>
      <c r="D130" s="109" t="s">
        <v>76</v>
      </c>
      <c r="E130" s="109" t="s">
        <v>66</v>
      </c>
      <c r="F130" s="109">
        <v>122</v>
      </c>
      <c r="G130" s="109">
        <v>1104</v>
      </c>
      <c r="H130" s="109">
        <v>10</v>
      </c>
      <c r="I130" s="109">
        <v>38050</v>
      </c>
      <c r="J130" s="109" t="s">
        <v>385</v>
      </c>
      <c r="K130" s="109" t="s">
        <v>386</v>
      </c>
      <c r="L130" s="109">
        <v>3.1</v>
      </c>
      <c r="M130" s="109">
        <f t="shared" si="187"/>
        <v>1</v>
      </c>
      <c r="N130" s="109" t="s">
        <v>472</v>
      </c>
    </row>
    <row r="131" spans="1:113" x14ac:dyDescent="0.25">
      <c r="A131" s="109">
        <v>6</v>
      </c>
      <c r="B131" s="109">
        <v>8</v>
      </c>
      <c r="C131" s="109" t="s">
        <v>387</v>
      </c>
      <c r="D131" s="109" t="s">
        <v>27</v>
      </c>
      <c r="E131" s="109" t="s">
        <v>46</v>
      </c>
      <c r="F131" s="109">
        <v>126</v>
      </c>
      <c r="G131" s="109">
        <v>1129</v>
      </c>
      <c r="H131" s="109">
        <v>9</v>
      </c>
      <c r="I131" s="109">
        <v>6</v>
      </c>
      <c r="J131" s="109" t="s">
        <v>388</v>
      </c>
      <c r="K131" s="109" t="s">
        <v>389</v>
      </c>
      <c r="L131" s="109">
        <v>11</v>
      </c>
      <c r="M131" s="109">
        <f t="shared" si="187"/>
        <v>4</v>
      </c>
      <c r="N131" s="109" t="s">
        <v>472</v>
      </c>
    </row>
    <row r="132" spans="1:113" x14ac:dyDescent="0.25">
      <c r="A132" s="109">
        <v>7</v>
      </c>
      <c r="B132" s="109">
        <v>12</v>
      </c>
      <c r="C132" s="109" t="s">
        <v>390</v>
      </c>
      <c r="D132" s="109" t="s">
        <v>68</v>
      </c>
      <c r="E132" s="109" t="s">
        <v>28</v>
      </c>
      <c r="F132" s="109">
        <v>117</v>
      </c>
      <c r="G132" s="109">
        <v>1107</v>
      </c>
      <c r="H132" s="109">
        <v>6</v>
      </c>
      <c r="I132" s="109">
        <v>6</v>
      </c>
      <c r="J132" s="109" t="s">
        <v>391</v>
      </c>
      <c r="K132" s="109" t="s">
        <v>389</v>
      </c>
      <c r="L132" s="109">
        <v>16</v>
      </c>
      <c r="M132" s="109">
        <f t="shared" si="187"/>
        <v>9</v>
      </c>
      <c r="N132" s="109" t="s">
        <v>472</v>
      </c>
    </row>
    <row r="133" spans="1:113" x14ac:dyDescent="0.25">
      <c r="A133" s="109">
        <v>8</v>
      </c>
      <c r="B133" s="109">
        <v>4</v>
      </c>
      <c r="C133" s="109" t="s">
        <v>392</v>
      </c>
      <c r="D133" s="109" t="s">
        <v>33</v>
      </c>
      <c r="E133" s="109" t="s">
        <v>37</v>
      </c>
      <c r="F133" s="109">
        <v>132</v>
      </c>
      <c r="G133" s="109">
        <v>1067</v>
      </c>
      <c r="H133" s="109">
        <v>3</v>
      </c>
      <c r="I133" s="109">
        <v>37992</v>
      </c>
      <c r="J133" s="109" t="s">
        <v>393</v>
      </c>
      <c r="K133" s="109" t="s">
        <v>389</v>
      </c>
      <c r="L133" s="109">
        <v>10</v>
      </c>
      <c r="M133" s="109">
        <f t="shared" si="187"/>
        <v>3</v>
      </c>
      <c r="N133" s="109" t="s">
        <v>472</v>
      </c>
    </row>
    <row r="134" spans="1:113" x14ac:dyDescent="0.25">
      <c r="A134" s="109">
        <v>9</v>
      </c>
      <c r="B134" s="109">
        <v>11</v>
      </c>
      <c r="C134" s="109" t="s">
        <v>394</v>
      </c>
      <c r="D134" s="109" t="s">
        <v>70</v>
      </c>
      <c r="E134" s="109" t="s">
        <v>74</v>
      </c>
      <c r="F134" s="109">
        <v>119</v>
      </c>
      <c r="G134" s="109">
        <v>1149</v>
      </c>
      <c r="H134" s="109">
        <v>4</v>
      </c>
      <c r="I134" s="109">
        <v>38055</v>
      </c>
      <c r="J134" s="109" t="s">
        <v>395</v>
      </c>
      <c r="K134" s="109" t="s">
        <v>396</v>
      </c>
      <c r="L134" s="109">
        <v>34</v>
      </c>
      <c r="M134" s="109">
        <f t="shared" si="187"/>
        <v>12</v>
      </c>
      <c r="N134" s="109" t="s">
        <v>472</v>
      </c>
    </row>
    <row r="135" spans="1:113" x14ac:dyDescent="0.25">
      <c r="A135" s="109">
        <v>10</v>
      </c>
      <c r="B135" s="109">
        <v>1</v>
      </c>
      <c r="C135" s="109" t="s">
        <v>397</v>
      </c>
      <c r="D135" s="109" t="s">
        <v>39</v>
      </c>
      <c r="E135" s="109" t="s">
        <v>113</v>
      </c>
      <c r="F135" s="109">
        <v>135</v>
      </c>
      <c r="G135" s="109">
        <v>1192</v>
      </c>
      <c r="H135" s="109">
        <v>1</v>
      </c>
      <c r="I135" s="109">
        <v>37269</v>
      </c>
      <c r="J135" s="109" t="s">
        <v>398</v>
      </c>
      <c r="K135" s="109" t="s">
        <v>399</v>
      </c>
      <c r="L135" s="109">
        <v>14</v>
      </c>
      <c r="M135" s="109">
        <f t="shared" si="187"/>
        <v>7</v>
      </c>
      <c r="N135" s="109" t="s">
        <v>472</v>
      </c>
    </row>
    <row r="136" spans="1:113" x14ac:dyDescent="0.25">
      <c r="A136" s="109">
        <v>11</v>
      </c>
      <c r="B136" s="109">
        <v>7</v>
      </c>
      <c r="C136" s="109" t="s">
        <v>400</v>
      </c>
      <c r="D136" s="109" t="s">
        <v>80</v>
      </c>
      <c r="E136" s="109" t="s">
        <v>60</v>
      </c>
      <c r="F136" s="109">
        <v>123</v>
      </c>
      <c r="G136" s="109">
        <v>1003</v>
      </c>
      <c r="H136" s="109">
        <v>2</v>
      </c>
      <c r="I136" s="109">
        <v>17</v>
      </c>
      <c r="J136" s="109" t="s">
        <v>401</v>
      </c>
      <c r="K136" s="109" t="s">
        <v>402</v>
      </c>
      <c r="L136" s="109">
        <v>22</v>
      </c>
      <c r="M136" s="109">
        <f t="shared" si="187"/>
        <v>10</v>
      </c>
      <c r="N136" s="109" t="s">
        <v>472</v>
      </c>
    </row>
    <row r="137" spans="1:113" x14ac:dyDescent="0.25">
      <c r="A137" s="109">
        <v>12</v>
      </c>
      <c r="B137" s="109">
        <v>3</v>
      </c>
      <c r="C137" s="109" t="s">
        <v>403</v>
      </c>
      <c r="D137" s="109" t="s">
        <v>51</v>
      </c>
      <c r="E137" s="109" t="s">
        <v>60</v>
      </c>
      <c r="F137" s="109">
        <v>135</v>
      </c>
      <c r="G137" s="109">
        <v>1140</v>
      </c>
      <c r="H137" s="109">
        <v>7</v>
      </c>
      <c r="I137" s="109">
        <v>37273</v>
      </c>
      <c r="J137" s="109" t="s">
        <v>404</v>
      </c>
      <c r="K137" s="109" t="s">
        <v>405</v>
      </c>
      <c r="L137" s="109">
        <v>14</v>
      </c>
      <c r="M137" s="109">
        <f t="shared" si="187"/>
        <v>7</v>
      </c>
      <c r="N137" s="109" t="s">
        <v>472</v>
      </c>
    </row>
    <row r="138" spans="1:113" x14ac:dyDescent="0.25">
      <c r="M138" s="109" t="e">
        <f t="shared" si="187"/>
        <v>#N/A</v>
      </c>
      <c r="N138" s="109" t="s">
        <v>472</v>
      </c>
    </row>
    <row r="139" spans="1:113" x14ac:dyDescent="0.25">
      <c r="M139" s="109" t="e">
        <f t="shared" si="187"/>
        <v>#N/A</v>
      </c>
      <c r="N139" s="109" t="s">
        <v>472</v>
      </c>
    </row>
    <row r="140" spans="1:113" x14ac:dyDescent="0.25">
      <c r="A140" s="109" t="s">
        <v>0</v>
      </c>
      <c r="B140" s="109" t="s">
        <v>1</v>
      </c>
      <c r="C140" s="109" t="s">
        <v>2</v>
      </c>
      <c r="D140" s="109" t="s">
        <v>3</v>
      </c>
      <c r="E140" s="109" t="s">
        <v>4</v>
      </c>
      <c r="F140" s="109" t="s">
        <v>167</v>
      </c>
      <c r="G140" s="109" t="s">
        <v>168</v>
      </c>
      <c r="H140" s="109" t="s">
        <v>7</v>
      </c>
      <c r="I140" s="109" t="s">
        <v>169</v>
      </c>
      <c r="J140" s="109" t="s">
        <v>170</v>
      </c>
      <c r="K140" s="109" t="s">
        <v>171</v>
      </c>
      <c r="L140" s="109" t="s">
        <v>172</v>
      </c>
      <c r="M140" s="109" t="s">
        <v>467</v>
      </c>
      <c r="N140" s="109" t="s">
        <v>479</v>
      </c>
    </row>
    <row r="141" spans="1:113" x14ac:dyDescent="0.25">
      <c r="M141" s="109" t="e">
        <f>RANK(L141, $L$141:$L$154,1)</f>
        <v>#N/A</v>
      </c>
      <c r="N141" s="109" t="s">
        <v>471</v>
      </c>
      <c r="O141" t="str">
        <f t="shared" ref="O141:O159" si="188">IF(AND($L141&gt;=1, $L141&lt;=4), "1-4", "No")</f>
        <v>No</v>
      </c>
      <c r="P141" t="str">
        <f t="shared" ref="P141:P159" si="189">IF(AND($L141&gt;=5, $L141&lt;=10), "5-10", "No")</f>
        <v>No</v>
      </c>
      <c r="Q141" t="str">
        <f t="shared" ref="Q141:Q159" si="190">IF(AND($L141&gt;=11, $L141&lt;=20), "11-20", "No")</f>
        <v>No</v>
      </c>
      <c r="R141" t="str">
        <f t="shared" ref="R141:R159" si="191">IF(AND($L141&gt;=20, $L141&lt;=30), "20-30", "No")</f>
        <v>No</v>
      </c>
      <c r="S141" t="str">
        <f t="shared" ref="S141:S159" si="192">IF(AND($L141&gt;=30, $L141&lt;=999), "&gt;30", "No")</f>
        <v>No</v>
      </c>
      <c r="T141" t="str">
        <f t="shared" ref="T141:T159" si="193">IF(AND($H141&gt;=1, $H141&lt;=6), "1-4", "No")</f>
        <v>No</v>
      </c>
      <c r="U141" t="str">
        <f t="shared" ref="U141:U159" si="194">IF(AND($H141&gt;=5, $H141&lt;=10), "5-10", "No")</f>
        <v>No</v>
      </c>
      <c r="V141" t="str">
        <f t="shared" ref="V141:V159" si="195">IF(AND($H141&gt;=11, $H141&lt;=12), "11-12", "No")</f>
        <v>No</v>
      </c>
      <c r="W141" t="str">
        <f t="shared" ref="W141:W159" si="196">IF(AND($F141&gt;=0, $F141&lt;=117), "0-117", "No")</f>
        <v>0-117</v>
      </c>
      <c r="X141" t="str">
        <f t="shared" ref="X141:X159" si="197">IF(AND($F141&gt;=118, $F141&lt;=127), "118-127", "No")</f>
        <v>No</v>
      </c>
      <c r="Y141" t="str">
        <f t="shared" ref="Y141:Y159" si="198">IF(AND($F141&gt;=128, $F141&lt;=999), "&gt;128", "No")</f>
        <v>No</v>
      </c>
      <c r="Z141" t="str">
        <f t="shared" ref="Z141:Z159" si="199">IF(AND($L141&gt;=1, $L141&lt;=4, $H141&gt;=1, $H141&lt;=4), "Yes", "No")</f>
        <v>No</v>
      </c>
      <c r="AA141" t="str">
        <f t="shared" ref="AA141:AA159" si="200">IF(AND($L141&gt;=1, $L141&lt;=4, $H141&gt;=5, $H141&lt;=10), "Yes", "No")</f>
        <v>No</v>
      </c>
      <c r="AB141" t="str">
        <f t="shared" ref="AB141:AB159" si="201">IF(AND($L141&gt;=1, $L141&lt;=4, $H141&gt;=11, $H141&lt;=12), "Yes", "No")</f>
        <v>No</v>
      </c>
      <c r="AC141" t="str">
        <f t="shared" ref="AC141:AC159" si="202">IF(AND($L141&gt;=4, $L141&lt;=10, $H141&gt;=1, $H141&lt;=4), "Yes", "No")</f>
        <v>No</v>
      </c>
      <c r="AD141" t="str">
        <f t="shared" ref="AD141:AD159" si="203">IF(AND($L141&gt;=4, $L141&lt;=10, $H141&gt;=5, $H141&lt;=10), "Yes", "No")</f>
        <v>No</v>
      </c>
      <c r="AE141" t="str">
        <f t="shared" ref="AE141:AE159" si="204">IF(AND($L141&gt;=4, $L141&lt;=10, $H141&gt;=11, $H141&lt;=12), "Yes", "No")</f>
        <v>No</v>
      </c>
      <c r="AF141" t="str">
        <f t="shared" ref="AF141:AF159" si="205">IF(AND($L141&gt;=10, $L141&lt;=20, $H141&gt;=1, $H141&lt;=4), "Yes", "No")</f>
        <v>No</v>
      </c>
      <c r="AG141" t="str">
        <f t="shared" ref="AG141:AG159" si="206">IF(AND($L141&gt;=10, $L141&lt;=20, $H141&gt;=5, $H141&lt;=10), "Yes", "No")</f>
        <v>No</v>
      </c>
      <c r="AH141" t="str">
        <f t="shared" ref="AH141:AH159" si="207">IF(AND($L141&gt;=10, $L141&lt;=20, $H141&gt;=11, $H141&lt;=12), "Yes", "No")</f>
        <v>No</v>
      </c>
      <c r="AI141" t="str">
        <f t="shared" ref="AI141:AI159" si="208">IF(AND($L141&gt;=20, $L141&lt;=30, $H141&gt;=1, $H141&lt;=4), "Yes", "No")</f>
        <v>No</v>
      </c>
      <c r="AJ141" t="str">
        <f t="shared" ref="AJ141:AJ159" si="209">IF(AND($L141&gt;=20, $L141&lt;=30, $H141&gt;=5, $H141&lt;=10), "Yes", "No")</f>
        <v>No</v>
      </c>
      <c r="AK141" t="str">
        <f t="shared" ref="AK141:AK159" si="210">IF(AND($L141&gt;=20, $L141&lt;=30, $H141&gt;=11, $H141&lt;=12), "Yes", "No")</f>
        <v>No</v>
      </c>
      <c r="AL141" t="str">
        <f t="shared" ref="AL141:AL159" si="211">IF(AND($L141&gt;=30, $L141&lt;=999, $H141&gt;=1, $H141&lt;=4), "Yes", "No")</f>
        <v>No</v>
      </c>
      <c r="AM141" t="str">
        <f t="shared" ref="AM141:AM159" si="212">IF(AND($L141&gt;=30, $L141&lt;=999, $H141&gt;=5, $H141&lt;=10), "Yes", "No")</f>
        <v>No</v>
      </c>
      <c r="AN141" t="str">
        <f t="shared" ref="AN141:AN159" si="213">IF(AND($L141&gt;=30, $L141&lt;=999, $H141&gt;=11, $H141&lt;=12), "Yes", "No")</f>
        <v>No</v>
      </c>
      <c r="AP141" t="str">
        <f t="shared" ref="AP134:AP159" si="214">IF(AND($L141&gt;=1, $L141&lt;=4, $F141&gt;=0, $F141&lt;=117), "Yes", "No")</f>
        <v>No</v>
      </c>
      <c r="AQ141" t="str">
        <f t="shared" ref="AQ134:AQ159" si="215">IF(AND($L141&gt;=1, $L141&lt;=4, $F141&gt;=118, $F141&lt;=127), "Yes", "No")</f>
        <v>No</v>
      </c>
      <c r="AR141" t="str">
        <f t="shared" ref="AR134:AR159" si="216">IF(AND($L141&gt;=1, $L141&lt;=4, $F141&gt;=128, $F141&lt;=200), "Yes", "No")</f>
        <v>No</v>
      </c>
      <c r="AS141" t="str">
        <f t="shared" ref="AS134:AS159" si="217">IF(AND($L141&gt;=4, $L141&lt;=10, $F141&gt;=0, $F141&lt;=117), "Yes", "No")</f>
        <v>No</v>
      </c>
      <c r="AT141" t="str">
        <f t="shared" ref="AT134:AT159" si="218">IF(AND($L141&gt;=4, $L141&lt;=10, $F141&gt;=118, $F141&lt;=127), "Yes", "No")</f>
        <v>No</v>
      </c>
      <c r="AU141" t="str">
        <f t="shared" ref="AU134:AU159" si="219">IF(AND($L141&gt;=4, $L141&lt;=10, $F141&gt;=128, $F141&lt;=200), "Yes", "No")</f>
        <v>No</v>
      </c>
      <c r="AV141" t="str">
        <f t="shared" ref="AV134:AV159" si="220">IF(AND($L141&gt;=10, $L141&lt;=20, $F141&gt;=0, $F141&lt;=117), "Yes", "No")</f>
        <v>No</v>
      </c>
      <c r="AW141" t="str">
        <f t="shared" ref="AW134:AW159" si="221">IF(AND($L141&gt;=10, $L141&lt;=20, $F141&gt;=118, $F141&lt;=127), "Yes", "No")</f>
        <v>No</v>
      </c>
      <c r="AX141" t="str">
        <f t="shared" ref="AX134:AX159" si="222">IF(AND($L141&gt;=10, $L141&lt;=20, $F141&gt;=128, $F141&lt;=200), "Yes", "No")</f>
        <v>No</v>
      </c>
      <c r="AY141" t="str">
        <f t="shared" ref="AY134:AY159" si="223">IF(AND($L141&gt;=20, $L141&lt;=30, $F141&gt;=0, $F141&lt;=117), "Yes", "No")</f>
        <v>No</v>
      </c>
      <c r="AZ141" t="str">
        <f t="shared" ref="AZ134:AZ159" si="224">IF(AND($L141&gt;=20, $L141&lt;=30, $F141&gt;=118, $F141&lt;=127), "Yes", "No")</f>
        <v>No</v>
      </c>
      <c r="BA141" t="str">
        <f t="shared" ref="BA134:BA159" si="225">IF(AND($L141&gt;=20, $L141&lt;=30, $F141&gt;=128, $F141&lt;=200), "Yes", "No")</f>
        <v>No</v>
      </c>
      <c r="BB141" t="str">
        <f t="shared" ref="BB134:BB159" si="226">IF(AND($L141&gt;=30, $L141&lt;=999, $F141&gt;=0, $F141&lt;=117), "Yes", "No")</f>
        <v>No</v>
      </c>
      <c r="BC141" t="str">
        <f t="shared" ref="BC134:BC159" si="227">IF(AND($L141&gt;=30, $L141&lt;=999, $F141&gt;=118, $F141&lt;=127), "Yes", "No")</f>
        <v>No</v>
      </c>
      <c r="BD141" t="str">
        <f t="shared" ref="BD134:BD159" si="228">IF(AND($L141&gt;=30, $L141&lt;=999, $F141&gt;=128, $F141&lt;=200), "Yes", "No")</f>
        <v>No</v>
      </c>
      <c r="BF141" t="str">
        <f t="shared" ref="BF141:BF159" si="229">IF(AND($H141&gt;=1, $H141&lt;=4, $F141&gt;=0, $F141&lt;=117), "Yes", "No")</f>
        <v>No</v>
      </c>
      <c r="BG141" t="str">
        <f t="shared" ref="BG141:BG159" si="230">IF(AND($H141&gt;=1, $H141&lt;=4, $F141&gt;=118, $F141&lt;=127), "Yes", "No")</f>
        <v>No</v>
      </c>
      <c r="BH141" t="str">
        <f t="shared" ref="BH141:BH159" si="231">IF(AND($H141&gt;=1, $H141&lt;=4, $F141&gt;=128, $F141&lt;=200), "Yes", "No")</f>
        <v>No</v>
      </c>
      <c r="BI141" t="str">
        <f t="shared" ref="BI141:BI159" si="232">IF(AND($H141&gt;=5, $H141&lt;=10, $F141&gt;=0, $F141&lt;=117), "Yes", "No")</f>
        <v>No</v>
      </c>
      <c r="BJ141" t="str">
        <f t="shared" ref="BJ141:BJ159" si="233">IF(AND($H141&gt;=5, $H141&lt;=10, $F141&gt;=118, $F141&lt;=127), "Yes", "No")</f>
        <v>No</v>
      </c>
      <c r="BK141" t="str">
        <f t="shared" ref="BK141:BK159" si="234">IF(AND($H141&gt;=5, $H141&lt;=10, $F141&gt;=128, $F141&lt;=200), "Yes", "No")</f>
        <v>No</v>
      </c>
      <c r="BL141" t="str">
        <f t="shared" ref="BL141:BL159" si="235">IF(AND($H141&gt;=11, $H141&lt;=12, $F141&gt;=0, $F141&lt;=117), "Yes", "No")</f>
        <v>No</v>
      </c>
      <c r="BM141" t="str">
        <f t="shared" ref="BM141:BM159" si="236">IF(AND($H141&gt;=11, $H141&lt;=12, $F141&gt;=118, $F141&lt;=127), "Yes", "No")</f>
        <v>No</v>
      </c>
      <c r="BN141" t="str">
        <f t="shared" ref="BN141:BN159" si="237">IF(AND($H141&gt;=11, $H141&lt;=12, $F141&gt;=128, $F141&lt;=200), "Yes", "No")</f>
        <v>No</v>
      </c>
      <c r="BQ141" t="str">
        <f t="shared" ref="BQ134:BQ192" si="238">IF(AND($L141&gt;=1, $L141&lt;=4, $H141&gt;=1, $H141&lt;=4,$F141&gt;=0,$F141&lt;=117), "Yes", "No")</f>
        <v>No</v>
      </c>
      <c r="BR141" t="str">
        <f t="shared" ref="BR134:BR192" si="239">IF(AND($L141&gt;=1, $L141&lt;=4, $H141&gt;=1, $H141&lt;=4,$F141&gt;=118, $F141&lt;=127), "Yes", "No")</f>
        <v>No</v>
      </c>
      <c r="BS141" t="str">
        <f t="shared" ref="BS134:BS192" si="240">IF(AND($L141&gt;=1, $L141&lt;=4, $H141&gt;=1, $H141&lt;=4,$F141&gt;=128, $F141&lt;=999), "Yes", "No")</f>
        <v>No</v>
      </c>
      <c r="BT141" t="str">
        <f t="shared" ref="BT134:BT192" si="241">IF(AND($L141&gt;=1, $L141&lt;=4, $H141&gt;=5, $H141&lt;=10,$F141&gt;=0,$F141&lt;=117), "Yes", "No")</f>
        <v>No</v>
      </c>
      <c r="BU141" t="str">
        <f t="shared" ref="BU134:BU192" si="242">IF(AND($L141&gt;=1, $L141&lt;=4, $H141&gt;=5, $H141&lt;=10,$F141&gt;=118, $F141&lt;=127), "Yes", "No")</f>
        <v>No</v>
      </c>
      <c r="BV141" t="str">
        <f t="shared" ref="BV134:BV192" si="243">IF(AND($L141&gt;=1, $L141&lt;=4, $H141&gt;=5, $H141&lt;=10,$F141&gt;=128, $F141&lt;=999), "Yes", "No")</f>
        <v>No</v>
      </c>
      <c r="BW141" t="str">
        <f t="shared" ref="BW134:BW192" si="244">IF(AND($L141&gt;=1, $L141&lt;=4, $H141&gt;=11, $H141&lt;=12,$F141&gt;=0,$F141&lt;=117), "Yes", "No")</f>
        <v>No</v>
      </c>
      <c r="BX141" t="str">
        <f t="shared" ref="BX134:BX192" si="245">IF(AND($L141&gt;=1, $L141&lt;=4, $H141&gt;=11, $H141&lt;=12,$F141&gt;=118, $F141&lt;=127), "Yes", "No")</f>
        <v>No</v>
      </c>
      <c r="BY141" t="str">
        <f t="shared" ref="BY134:BY192" si="246">IF(AND($L141&gt;=1, $L141&lt;=4, $H141&gt;=11, $H141&lt;=12,$F141&gt;=128, $F141&lt;=999), "Yes", "No")</f>
        <v>No</v>
      </c>
      <c r="BZ141" t="str">
        <f t="shared" ref="BZ134:BZ192" si="247">IF(AND($L141&gt;=5, $L141&lt;=10, $H141&gt;=1, $H141&lt;=4,$F141&gt;=0,$F141&lt;=117), "Yes", "No")</f>
        <v>No</v>
      </c>
      <c r="CA141" t="str">
        <f t="shared" ref="CA134:CA192" si="248">IF(AND($L141&gt;=5, $L141&lt;=10, $H141&gt;=1, $H141&lt;=4,$F141&gt;=118, $F141&lt;=127), "Yes", "No")</f>
        <v>No</v>
      </c>
      <c r="CB141" t="str">
        <f t="shared" ref="CB134:CB192" si="249">IF(AND($L141&gt;=5, $L141&lt;=10, $H141&gt;=1, $H141&lt;=4,$F141&gt;=128, $F141&lt;=999), "Yes", "No")</f>
        <v>No</v>
      </c>
      <c r="CC141" t="str">
        <f t="shared" ref="CC134:CC192" si="250">IF(AND($L141&gt;=5, $L141&lt;=10, $H141&gt;=5, $H141&lt;=10,$F141&gt;=0,$F141&lt;=117), "Yes", "No")</f>
        <v>No</v>
      </c>
      <c r="CD141" t="str">
        <f t="shared" ref="CD134:CD192" si="251">IF(AND($L141&gt;=5, $L141&lt;=10, $H141&gt;=5, $H141&lt;=10,$F141&gt;=118, $F141&lt;=127), "Yes", "No")</f>
        <v>No</v>
      </c>
      <c r="CE141" t="str">
        <f t="shared" ref="CE134:CE192" si="252">IF(AND($L141&gt;=5, $L141&lt;=10, $H141&gt;=5, $H141&lt;=10,$F141&gt;=128, $F141&lt;=999), "Yes", "No")</f>
        <v>No</v>
      </c>
      <c r="CF141" t="str">
        <f t="shared" ref="CF134:CF192" si="253">IF(AND($L141&gt;=5, $L141&lt;=10, $H141&gt;=11, $H141&lt;=12,$F141&gt;=0,$F141&lt;=117), "Yes", "No")</f>
        <v>No</v>
      </c>
      <c r="CG141" t="str">
        <f t="shared" ref="CG134:CG192" si="254">IF(AND($L141&gt;=5, $L141&lt;=10, $H141&gt;=11, $H141&lt;=12,$F141&gt;=118, $F141&lt;=127), "Yes", "No")</f>
        <v>No</v>
      </c>
      <c r="CH141" t="str">
        <f t="shared" ref="CH134:CH192" si="255">IF(AND($L141&gt;=5, $L141&lt;=10, $H141&gt;=11, $H141&lt;=12,$F141&gt;=128, $F141&lt;=999), "Yes", "No")</f>
        <v>No</v>
      </c>
      <c r="CI141" t="str">
        <f t="shared" ref="CI134:CI192" si="256">IF(AND($L141&gt;=11, $L141&lt;=20, $H141&gt;=1, $H141&lt;=4,$F141&gt;=0,$F141&lt;=117), "Yes", "No")</f>
        <v>No</v>
      </c>
      <c r="CJ141" t="str">
        <f t="shared" ref="CJ134:CJ192" si="257">IF(AND($L141&gt;=11, $L141&lt;=20, $H141&gt;=1, $H141&lt;=4,$F141&gt;=118, $F141&lt;=127), "Yes", "No")</f>
        <v>No</v>
      </c>
      <c r="CK141" t="str">
        <f t="shared" ref="CK134:CK192" si="258">IF(AND($L141&gt;=11, $L141&lt;=20, $H141&gt;=1, $H141&lt;=4,$F141&gt;=128, $F141&lt;=999), "Yes", "No")</f>
        <v>No</v>
      </c>
      <c r="CL141" t="str">
        <f t="shared" ref="CL134:CL192" si="259">IF(AND($L141&gt;=11, $L141&lt;=20, $H141&gt;=5, $H141&lt;=10,$F141&gt;=0,$F141&lt;=117), "Yes", "No")</f>
        <v>No</v>
      </c>
      <c r="CM141" t="str">
        <f t="shared" ref="CM134:CM192" si="260">IF(AND($L141&gt;=11, $L141&lt;=20, $H141&gt;=5, $H141&lt;=10,$F141&gt;=118, $F141&lt;=127), "Yes", "No")</f>
        <v>No</v>
      </c>
      <c r="CN141" t="str">
        <f t="shared" ref="CN134:CN192" si="261">IF(AND($L141&gt;=11, $L141&lt;=20, $H141&gt;=5, $H141&lt;=10,$F141&gt;=128, $F141&lt;=999), "Yes", "No")</f>
        <v>No</v>
      </c>
      <c r="CO141" t="str">
        <f t="shared" ref="CO134:CO192" si="262">IF(AND($L141&gt;=11, $L141&lt;=20,  $H141&gt;=11, $H141&lt;=12,$F141&gt;=0,$F141&lt;=117), "Yes", "No")</f>
        <v>No</v>
      </c>
      <c r="CP141" t="str">
        <f t="shared" ref="CP134:CP192" si="263">IF(AND($L141&gt;=11, $L141&lt;=20,  $H141&gt;=11, $H141&lt;=12,$F141&gt;=118, $F141&lt;=127), "Yes", "No")</f>
        <v>No</v>
      </c>
      <c r="CQ141" t="str">
        <f t="shared" ref="CQ134:CQ192" si="264">IF(AND($L141&gt;=11, $L141&lt;=20,  $H141&gt;=11, $H141&lt;=12,$F141&gt;=128, $F141&lt;=999), "Yes", "No")</f>
        <v>No</v>
      </c>
      <c r="CR141" t="str">
        <f t="shared" ref="CR134:CR192" si="265">IF(AND($L141&gt;=20, $L141&lt;=30, $H141&gt;=1, $H141&lt;=4,$F141&gt;=0,$F141&lt;=117), "Yes", "No")</f>
        <v>No</v>
      </c>
      <c r="CS141" t="str">
        <f t="shared" ref="CS134:CS192" si="266">IF(AND($L141&gt;=20, $L141&lt;=30, $H141&gt;=1, $H141&lt;=4,$F141&gt;=118, $F141&lt;=127), "Yes", "No")</f>
        <v>No</v>
      </c>
      <c r="CT141" t="str">
        <f t="shared" ref="CT134:CT192" si="267">IF(AND($L141&gt;=20, $L141&lt;=30, $H141&gt;=1, $H141&lt;=4,$F141&gt;=128, $F141&lt;=999), "Yes", "No")</f>
        <v>No</v>
      </c>
      <c r="CU141" t="str">
        <f t="shared" ref="CU134:CU192" si="268">IF(AND($L141&gt;=20, $L141&lt;=30, $H141&gt;=5, $H141&lt;=10,$F141&gt;=0,$F141&lt;=117), "Yes", "No")</f>
        <v>No</v>
      </c>
      <c r="CV141" t="str">
        <f t="shared" ref="CV134:CV192" si="269">IF(AND($L141&gt;=20, $L141&lt;=30, $H141&gt;=5, $H141&lt;=10,$F141&gt;=118, $F141&lt;=127), "Yes", "No")</f>
        <v>No</v>
      </c>
      <c r="CW141" t="str">
        <f t="shared" ref="CW134:CW192" si="270">IF(AND($L141&gt;=20, $L141&lt;=30, $H141&gt;=5, $H141&lt;=10,$F141&gt;=128, $F141&lt;=999), "Yes", "No")</f>
        <v>No</v>
      </c>
      <c r="CX141" t="str">
        <f t="shared" ref="CX134:CX192" si="271">IF(AND($L141&gt;=20, $L141&lt;=30, $H141&gt;=11, $H141&lt;=12,$F141&gt;=0,$F141&lt;=117), "Yes", "No")</f>
        <v>No</v>
      </c>
      <c r="CY141" t="str">
        <f t="shared" ref="CY134:CY192" si="272">IF(AND($L141&gt;=20, $L141&lt;=30, $H141&gt;=11, $H141&lt;=12,$F141&gt;=118, $F141&lt;=127), "Yes", "No")</f>
        <v>No</v>
      </c>
      <c r="CZ141" t="str">
        <f t="shared" ref="CZ134:CZ192" si="273">IF(AND($L141&gt;=20, $L141&lt;=30, $H141&gt;=11, $H141&lt;=12,$F141&gt;=128, $F141&lt;=999), "Yes", "No")</f>
        <v>No</v>
      </c>
      <c r="DA141" t="str">
        <f t="shared" ref="DA134:DA192" si="274">IF(AND($L141&gt;=30, $L141&lt;=999, $H141&gt;=1, $H141&lt;=4,$F141&gt;=0,$F141&lt;=117), "Yes", "No")</f>
        <v>No</v>
      </c>
      <c r="DB141" t="str">
        <f t="shared" ref="DB134:DB192" si="275">IF(AND($L141&gt;=30, $L141&lt;=999, $H141&gt;=1, $H141&lt;=4,$F141&gt;=118, $F141&lt;=127), "Yes", "No")</f>
        <v>No</v>
      </c>
      <c r="DC141" t="str">
        <f t="shared" ref="DC134:DC192" si="276">IF(AND($L141&gt;=30, $L141&lt;=999, $H141&gt;=1, $H141&lt;=4,$F141&gt;=128, $F141&lt;=999), "Yes", "No")</f>
        <v>No</v>
      </c>
      <c r="DD141" t="str">
        <f t="shared" ref="DD134:DD192" si="277">IF(AND($L141&gt;=30, $L141&lt;=999,  $H141&gt;=5, $H141&lt;=10,$F141&gt;=0,$F141&lt;=117), "Yes", "No")</f>
        <v>No</v>
      </c>
      <c r="DE141" t="str">
        <f t="shared" ref="DE134:DE192" si="278">IF(AND($L141&gt;=30, $L141&lt;=999,  $H141&gt;=5, $H141&lt;=10,$F141&gt;=118, $F141&lt;=127), "Yes", "No")</f>
        <v>No</v>
      </c>
      <c r="DF141" t="str">
        <f t="shared" ref="DF134:DF192" si="279">IF(AND($L141&gt;=30, $L141&lt;=999,  $H141&gt;=5, $H141&lt;=10,$F141&gt;=128, $F141&lt;=999), "Yes", "No")</f>
        <v>No</v>
      </c>
      <c r="DG141" t="str">
        <f t="shared" ref="DG134:DG192" si="280">IF(AND($L141&gt;=30, $L141&lt;=999, $H141&gt;=11, $H141&lt;=12,$F141&gt;=0,$F141&lt;=117), "Yes", "No")</f>
        <v>No</v>
      </c>
      <c r="DH141" t="str">
        <f t="shared" ref="DH134:DH192" si="281">IF(AND($L141&gt;=30, $L141&lt;=999,  $H141&gt;=11, $H141&lt;=12,$F141&gt;=118, $F141&lt;=127), "Yes", "No")</f>
        <v>No</v>
      </c>
      <c r="DI141" t="str">
        <f t="shared" ref="DI134:DI192" si="282">IF(AND($L141&gt;=30, $L141&lt;=999,  $H141&gt;=11, $H141&lt;=12,$F141&gt;=128, $F141&lt;=999), "Yes", "No")</f>
        <v>No</v>
      </c>
    </row>
    <row r="142" spans="1:113" x14ac:dyDescent="0.25">
      <c r="M142" s="109" t="e">
        <f t="shared" ref="M142:M154" si="283">RANK(L142, $L$141:$L$154,1)</f>
        <v>#N/A</v>
      </c>
      <c r="N142" s="109" t="s">
        <v>471</v>
      </c>
      <c r="O142" t="str">
        <f t="shared" si="188"/>
        <v>No</v>
      </c>
      <c r="P142" t="str">
        <f t="shared" si="189"/>
        <v>No</v>
      </c>
      <c r="Q142" t="str">
        <f t="shared" si="190"/>
        <v>No</v>
      </c>
      <c r="R142" t="str">
        <f t="shared" si="191"/>
        <v>No</v>
      </c>
      <c r="S142" t="str">
        <f t="shared" si="192"/>
        <v>No</v>
      </c>
      <c r="T142" t="str">
        <f t="shared" si="193"/>
        <v>No</v>
      </c>
      <c r="U142" t="str">
        <f t="shared" si="194"/>
        <v>No</v>
      </c>
      <c r="V142" t="str">
        <f t="shared" si="195"/>
        <v>No</v>
      </c>
      <c r="W142" t="str">
        <f t="shared" si="196"/>
        <v>0-117</v>
      </c>
      <c r="X142" t="str">
        <f t="shared" si="197"/>
        <v>No</v>
      </c>
      <c r="Y142" t="str">
        <f t="shared" si="198"/>
        <v>No</v>
      </c>
      <c r="Z142" t="str">
        <f t="shared" si="199"/>
        <v>No</v>
      </c>
      <c r="AA142" t="str">
        <f t="shared" si="200"/>
        <v>No</v>
      </c>
      <c r="AB142" t="str">
        <f t="shared" si="201"/>
        <v>No</v>
      </c>
      <c r="AC142" t="str">
        <f t="shared" si="202"/>
        <v>No</v>
      </c>
      <c r="AD142" t="str">
        <f t="shared" si="203"/>
        <v>No</v>
      </c>
      <c r="AE142" t="str">
        <f t="shared" si="204"/>
        <v>No</v>
      </c>
      <c r="AF142" t="str">
        <f t="shared" si="205"/>
        <v>No</v>
      </c>
      <c r="AG142" t="str">
        <f t="shared" si="206"/>
        <v>No</v>
      </c>
      <c r="AH142" t="str">
        <f t="shared" si="207"/>
        <v>No</v>
      </c>
      <c r="AI142" t="str">
        <f t="shared" si="208"/>
        <v>No</v>
      </c>
      <c r="AJ142" t="str">
        <f t="shared" si="209"/>
        <v>No</v>
      </c>
      <c r="AK142" t="str">
        <f t="shared" si="210"/>
        <v>No</v>
      </c>
      <c r="AL142" t="str">
        <f t="shared" si="211"/>
        <v>No</v>
      </c>
      <c r="AM142" t="str">
        <f t="shared" si="212"/>
        <v>No</v>
      </c>
      <c r="AN142" t="str">
        <f t="shared" si="213"/>
        <v>No</v>
      </c>
      <c r="AP142" t="str">
        <f t="shared" si="214"/>
        <v>No</v>
      </c>
      <c r="AQ142" t="str">
        <f t="shared" si="215"/>
        <v>No</v>
      </c>
      <c r="AR142" t="str">
        <f t="shared" si="216"/>
        <v>No</v>
      </c>
      <c r="AS142" t="str">
        <f t="shared" si="217"/>
        <v>No</v>
      </c>
      <c r="AT142" t="str">
        <f t="shared" si="218"/>
        <v>No</v>
      </c>
      <c r="AU142" t="str">
        <f t="shared" si="219"/>
        <v>No</v>
      </c>
      <c r="AV142" t="str">
        <f t="shared" si="220"/>
        <v>No</v>
      </c>
      <c r="AW142" t="str">
        <f t="shared" si="221"/>
        <v>No</v>
      </c>
      <c r="AX142" t="str">
        <f t="shared" si="222"/>
        <v>No</v>
      </c>
      <c r="AY142" t="str">
        <f t="shared" si="223"/>
        <v>No</v>
      </c>
      <c r="AZ142" t="str">
        <f t="shared" si="224"/>
        <v>No</v>
      </c>
      <c r="BA142" t="str">
        <f t="shared" si="225"/>
        <v>No</v>
      </c>
      <c r="BB142" t="str">
        <f t="shared" si="226"/>
        <v>No</v>
      </c>
      <c r="BC142" t="str">
        <f t="shared" si="227"/>
        <v>No</v>
      </c>
      <c r="BD142" t="str">
        <f t="shared" si="228"/>
        <v>No</v>
      </c>
      <c r="BF142" t="str">
        <f t="shared" si="229"/>
        <v>No</v>
      </c>
      <c r="BG142" t="str">
        <f t="shared" si="230"/>
        <v>No</v>
      </c>
      <c r="BH142" t="str">
        <f t="shared" si="231"/>
        <v>No</v>
      </c>
      <c r="BI142" t="str">
        <f t="shared" si="232"/>
        <v>No</v>
      </c>
      <c r="BJ142" t="str">
        <f t="shared" si="233"/>
        <v>No</v>
      </c>
      <c r="BK142" t="str">
        <f t="shared" si="234"/>
        <v>No</v>
      </c>
      <c r="BL142" t="str">
        <f t="shared" si="235"/>
        <v>No</v>
      </c>
      <c r="BM142" t="str">
        <f t="shared" si="236"/>
        <v>No</v>
      </c>
      <c r="BN142" t="str">
        <f t="shared" si="237"/>
        <v>No</v>
      </c>
      <c r="BQ142" t="str">
        <f t="shared" si="238"/>
        <v>No</v>
      </c>
      <c r="BR142" t="str">
        <f t="shared" si="239"/>
        <v>No</v>
      </c>
      <c r="BS142" t="str">
        <f t="shared" si="240"/>
        <v>No</v>
      </c>
      <c r="BT142" t="str">
        <f t="shared" si="241"/>
        <v>No</v>
      </c>
      <c r="BU142" t="str">
        <f t="shared" si="242"/>
        <v>No</v>
      </c>
      <c r="BV142" t="str">
        <f t="shared" si="243"/>
        <v>No</v>
      </c>
      <c r="BW142" t="str">
        <f t="shared" si="244"/>
        <v>No</v>
      </c>
      <c r="BX142" t="str">
        <f t="shared" si="245"/>
        <v>No</v>
      </c>
      <c r="BY142" t="str">
        <f t="shared" si="246"/>
        <v>No</v>
      </c>
      <c r="BZ142" t="str">
        <f t="shared" si="247"/>
        <v>No</v>
      </c>
      <c r="CA142" t="str">
        <f t="shared" si="248"/>
        <v>No</v>
      </c>
      <c r="CB142" t="str">
        <f t="shared" si="249"/>
        <v>No</v>
      </c>
      <c r="CC142" t="str">
        <f t="shared" si="250"/>
        <v>No</v>
      </c>
      <c r="CD142" t="str">
        <f t="shared" si="251"/>
        <v>No</v>
      </c>
      <c r="CE142" t="str">
        <f t="shared" si="252"/>
        <v>No</v>
      </c>
      <c r="CF142" t="str">
        <f t="shared" si="253"/>
        <v>No</v>
      </c>
      <c r="CG142" t="str">
        <f t="shared" si="254"/>
        <v>No</v>
      </c>
      <c r="CH142" t="str">
        <f t="shared" si="255"/>
        <v>No</v>
      </c>
      <c r="CI142" t="str">
        <f t="shared" si="256"/>
        <v>No</v>
      </c>
      <c r="CJ142" t="str">
        <f t="shared" si="257"/>
        <v>No</v>
      </c>
      <c r="CK142" t="str">
        <f t="shared" si="258"/>
        <v>No</v>
      </c>
      <c r="CL142" t="str">
        <f t="shared" si="259"/>
        <v>No</v>
      </c>
      <c r="CM142" t="str">
        <f t="shared" si="260"/>
        <v>No</v>
      </c>
      <c r="CN142" t="str">
        <f t="shared" si="261"/>
        <v>No</v>
      </c>
      <c r="CO142" t="str">
        <f t="shared" si="262"/>
        <v>No</v>
      </c>
      <c r="CP142" t="str">
        <f t="shared" si="263"/>
        <v>No</v>
      </c>
      <c r="CQ142" t="str">
        <f t="shared" si="264"/>
        <v>No</v>
      </c>
      <c r="CR142" t="str">
        <f t="shared" si="265"/>
        <v>No</v>
      </c>
      <c r="CS142" t="str">
        <f t="shared" si="266"/>
        <v>No</v>
      </c>
      <c r="CT142" t="str">
        <f t="shared" si="267"/>
        <v>No</v>
      </c>
      <c r="CU142" t="str">
        <f t="shared" si="268"/>
        <v>No</v>
      </c>
      <c r="CV142" t="str">
        <f t="shared" si="269"/>
        <v>No</v>
      </c>
      <c r="CW142" t="str">
        <f t="shared" si="270"/>
        <v>No</v>
      </c>
      <c r="CX142" t="str">
        <f t="shared" si="271"/>
        <v>No</v>
      </c>
      <c r="CY142" t="str">
        <f t="shared" si="272"/>
        <v>No</v>
      </c>
      <c r="CZ142" t="str">
        <f t="shared" si="273"/>
        <v>No</v>
      </c>
      <c r="DA142" t="str">
        <f t="shared" si="274"/>
        <v>No</v>
      </c>
      <c r="DB142" t="str">
        <f t="shared" si="275"/>
        <v>No</v>
      </c>
      <c r="DC142" t="str">
        <f t="shared" si="276"/>
        <v>No</v>
      </c>
      <c r="DD142" t="str">
        <f t="shared" si="277"/>
        <v>No</v>
      </c>
      <c r="DE142" t="str">
        <f t="shared" si="278"/>
        <v>No</v>
      </c>
      <c r="DF142" t="str">
        <f t="shared" si="279"/>
        <v>No</v>
      </c>
      <c r="DG142" t="str">
        <f t="shared" si="280"/>
        <v>No</v>
      </c>
      <c r="DH142" t="str">
        <f t="shared" si="281"/>
        <v>No</v>
      </c>
      <c r="DI142" t="str">
        <f t="shared" si="282"/>
        <v>No</v>
      </c>
    </row>
    <row r="143" spans="1:113" x14ac:dyDescent="0.25">
      <c r="M143" s="109" t="e">
        <f t="shared" si="283"/>
        <v>#N/A</v>
      </c>
      <c r="N143" s="109" t="s">
        <v>471</v>
      </c>
      <c r="O143" t="str">
        <f t="shared" si="188"/>
        <v>No</v>
      </c>
      <c r="P143" t="str">
        <f t="shared" si="189"/>
        <v>No</v>
      </c>
      <c r="Q143" t="str">
        <f t="shared" si="190"/>
        <v>No</v>
      </c>
      <c r="R143" t="str">
        <f t="shared" si="191"/>
        <v>No</v>
      </c>
      <c r="S143" t="str">
        <f t="shared" si="192"/>
        <v>No</v>
      </c>
      <c r="T143" t="str">
        <f t="shared" si="193"/>
        <v>No</v>
      </c>
      <c r="U143" t="str">
        <f t="shared" si="194"/>
        <v>No</v>
      </c>
      <c r="V143" t="str">
        <f t="shared" si="195"/>
        <v>No</v>
      </c>
      <c r="W143" t="str">
        <f t="shared" si="196"/>
        <v>0-117</v>
      </c>
      <c r="X143" t="str">
        <f t="shared" si="197"/>
        <v>No</v>
      </c>
      <c r="Y143" t="str">
        <f t="shared" si="198"/>
        <v>No</v>
      </c>
      <c r="Z143" t="str">
        <f t="shared" si="199"/>
        <v>No</v>
      </c>
      <c r="AA143" t="str">
        <f t="shared" si="200"/>
        <v>No</v>
      </c>
      <c r="AB143" t="str">
        <f t="shared" si="201"/>
        <v>No</v>
      </c>
      <c r="AC143" t="str">
        <f t="shared" si="202"/>
        <v>No</v>
      </c>
      <c r="AD143" t="str">
        <f t="shared" si="203"/>
        <v>No</v>
      </c>
      <c r="AE143" t="str">
        <f t="shared" si="204"/>
        <v>No</v>
      </c>
      <c r="AF143" t="str">
        <f t="shared" si="205"/>
        <v>No</v>
      </c>
      <c r="AG143" t="str">
        <f t="shared" si="206"/>
        <v>No</v>
      </c>
      <c r="AH143" t="str">
        <f t="shared" si="207"/>
        <v>No</v>
      </c>
      <c r="AI143" t="str">
        <f t="shared" si="208"/>
        <v>No</v>
      </c>
      <c r="AJ143" t="str">
        <f t="shared" si="209"/>
        <v>No</v>
      </c>
      <c r="AK143" t="str">
        <f t="shared" si="210"/>
        <v>No</v>
      </c>
      <c r="AL143" t="str">
        <f t="shared" si="211"/>
        <v>No</v>
      </c>
      <c r="AM143" t="str">
        <f t="shared" si="212"/>
        <v>No</v>
      </c>
      <c r="AN143" t="str">
        <f t="shared" si="213"/>
        <v>No</v>
      </c>
      <c r="AP143" t="str">
        <f t="shared" si="214"/>
        <v>No</v>
      </c>
      <c r="AQ143" t="str">
        <f t="shared" si="215"/>
        <v>No</v>
      </c>
      <c r="AR143" t="str">
        <f t="shared" si="216"/>
        <v>No</v>
      </c>
      <c r="AS143" t="str">
        <f t="shared" si="217"/>
        <v>No</v>
      </c>
      <c r="AT143" t="str">
        <f t="shared" si="218"/>
        <v>No</v>
      </c>
      <c r="AU143" t="str">
        <f t="shared" si="219"/>
        <v>No</v>
      </c>
      <c r="AV143" t="str">
        <f t="shared" si="220"/>
        <v>No</v>
      </c>
      <c r="AW143" t="str">
        <f t="shared" si="221"/>
        <v>No</v>
      </c>
      <c r="AX143" t="str">
        <f t="shared" si="222"/>
        <v>No</v>
      </c>
      <c r="AY143" t="str">
        <f t="shared" si="223"/>
        <v>No</v>
      </c>
      <c r="AZ143" t="str">
        <f t="shared" si="224"/>
        <v>No</v>
      </c>
      <c r="BA143" t="str">
        <f t="shared" si="225"/>
        <v>No</v>
      </c>
      <c r="BB143" t="str">
        <f t="shared" si="226"/>
        <v>No</v>
      </c>
      <c r="BC143" t="str">
        <f t="shared" si="227"/>
        <v>No</v>
      </c>
      <c r="BD143" t="str">
        <f t="shared" si="228"/>
        <v>No</v>
      </c>
      <c r="BF143" t="str">
        <f t="shared" si="229"/>
        <v>No</v>
      </c>
      <c r="BG143" t="str">
        <f t="shared" si="230"/>
        <v>No</v>
      </c>
      <c r="BH143" t="str">
        <f t="shared" si="231"/>
        <v>No</v>
      </c>
      <c r="BI143" t="str">
        <f t="shared" si="232"/>
        <v>No</v>
      </c>
      <c r="BJ143" t="str">
        <f t="shared" si="233"/>
        <v>No</v>
      </c>
      <c r="BK143" t="str">
        <f t="shared" si="234"/>
        <v>No</v>
      </c>
      <c r="BL143" t="str">
        <f t="shared" si="235"/>
        <v>No</v>
      </c>
      <c r="BM143" t="str">
        <f t="shared" si="236"/>
        <v>No</v>
      </c>
      <c r="BN143" t="str">
        <f t="shared" si="237"/>
        <v>No</v>
      </c>
      <c r="BQ143" t="str">
        <f t="shared" si="238"/>
        <v>No</v>
      </c>
      <c r="BR143" t="str">
        <f t="shared" si="239"/>
        <v>No</v>
      </c>
      <c r="BS143" t="str">
        <f t="shared" si="240"/>
        <v>No</v>
      </c>
      <c r="BT143" t="str">
        <f t="shared" si="241"/>
        <v>No</v>
      </c>
      <c r="BU143" t="str">
        <f t="shared" si="242"/>
        <v>No</v>
      </c>
      <c r="BV143" t="str">
        <f t="shared" si="243"/>
        <v>No</v>
      </c>
      <c r="BW143" t="str">
        <f t="shared" si="244"/>
        <v>No</v>
      </c>
      <c r="BX143" t="str">
        <f t="shared" si="245"/>
        <v>No</v>
      </c>
      <c r="BY143" t="str">
        <f t="shared" si="246"/>
        <v>No</v>
      </c>
      <c r="BZ143" t="str">
        <f t="shared" si="247"/>
        <v>No</v>
      </c>
      <c r="CA143" t="str">
        <f t="shared" si="248"/>
        <v>No</v>
      </c>
      <c r="CB143" t="str">
        <f t="shared" si="249"/>
        <v>No</v>
      </c>
      <c r="CC143" t="str">
        <f t="shared" si="250"/>
        <v>No</v>
      </c>
      <c r="CD143" t="str">
        <f t="shared" si="251"/>
        <v>No</v>
      </c>
      <c r="CE143" t="str">
        <f t="shared" si="252"/>
        <v>No</v>
      </c>
      <c r="CF143" t="str">
        <f t="shared" si="253"/>
        <v>No</v>
      </c>
      <c r="CG143" t="str">
        <f t="shared" si="254"/>
        <v>No</v>
      </c>
      <c r="CH143" t="str">
        <f t="shared" si="255"/>
        <v>No</v>
      </c>
      <c r="CI143" t="str">
        <f t="shared" si="256"/>
        <v>No</v>
      </c>
      <c r="CJ143" t="str">
        <f t="shared" si="257"/>
        <v>No</v>
      </c>
      <c r="CK143" t="str">
        <f t="shared" si="258"/>
        <v>No</v>
      </c>
      <c r="CL143" t="str">
        <f t="shared" si="259"/>
        <v>No</v>
      </c>
      <c r="CM143" t="str">
        <f t="shared" si="260"/>
        <v>No</v>
      </c>
      <c r="CN143" t="str">
        <f t="shared" si="261"/>
        <v>No</v>
      </c>
      <c r="CO143" t="str">
        <f t="shared" si="262"/>
        <v>No</v>
      </c>
      <c r="CP143" t="str">
        <f t="shared" si="263"/>
        <v>No</v>
      </c>
      <c r="CQ143" t="str">
        <f t="shared" si="264"/>
        <v>No</v>
      </c>
      <c r="CR143" t="str">
        <f t="shared" si="265"/>
        <v>No</v>
      </c>
      <c r="CS143" t="str">
        <f t="shared" si="266"/>
        <v>No</v>
      </c>
      <c r="CT143" t="str">
        <f t="shared" si="267"/>
        <v>No</v>
      </c>
      <c r="CU143" t="str">
        <f t="shared" si="268"/>
        <v>No</v>
      </c>
      <c r="CV143" t="str">
        <f t="shared" si="269"/>
        <v>No</v>
      </c>
      <c r="CW143" t="str">
        <f t="shared" si="270"/>
        <v>No</v>
      </c>
      <c r="CX143" t="str">
        <f t="shared" si="271"/>
        <v>No</v>
      </c>
      <c r="CY143" t="str">
        <f t="shared" si="272"/>
        <v>No</v>
      </c>
      <c r="CZ143" t="str">
        <f t="shared" si="273"/>
        <v>No</v>
      </c>
      <c r="DA143" t="str">
        <f t="shared" si="274"/>
        <v>No</v>
      </c>
      <c r="DB143" t="str">
        <f t="shared" si="275"/>
        <v>No</v>
      </c>
      <c r="DC143" t="str">
        <f t="shared" si="276"/>
        <v>No</v>
      </c>
      <c r="DD143" t="str">
        <f t="shared" si="277"/>
        <v>No</v>
      </c>
      <c r="DE143" t="str">
        <f t="shared" si="278"/>
        <v>No</v>
      </c>
      <c r="DF143" t="str">
        <f t="shared" si="279"/>
        <v>No</v>
      </c>
      <c r="DG143" t="str">
        <f t="shared" si="280"/>
        <v>No</v>
      </c>
      <c r="DH143" t="str">
        <f t="shared" si="281"/>
        <v>No</v>
      </c>
      <c r="DI143" t="str">
        <f t="shared" si="282"/>
        <v>No</v>
      </c>
    </row>
    <row r="144" spans="1:113" x14ac:dyDescent="0.25">
      <c r="M144" s="109" t="e">
        <f t="shared" si="283"/>
        <v>#N/A</v>
      </c>
      <c r="N144" s="109" t="s">
        <v>471</v>
      </c>
      <c r="O144" t="str">
        <f t="shared" si="188"/>
        <v>No</v>
      </c>
      <c r="P144" t="str">
        <f t="shared" si="189"/>
        <v>No</v>
      </c>
      <c r="Q144" t="str">
        <f t="shared" si="190"/>
        <v>No</v>
      </c>
      <c r="R144" t="str">
        <f t="shared" si="191"/>
        <v>No</v>
      </c>
      <c r="S144" t="str">
        <f t="shared" si="192"/>
        <v>No</v>
      </c>
      <c r="T144" t="str">
        <f t="shared" si="193"/>
        <v>No</v>
      </c>
      <c r="U144" t="str">
        <f t="shared" si="194"/>
        <v>No</v>
      </c>
      <c r="V144" t="str">
        <f t="shared" si="195"/>
        <v>No</v>
      </c>
      <c r="W144" t="str">
        <f t="shared" si="196"/>
        <v>0-117</v>
      </c>
      <c r="X144" t="str">
        <f t="shared" si="197"/>
        <v>No</v>
      </c>
      <c r="Y144" t="str">
        <f t="shared" si="198"/>
        <v>No</v>
      </c>
      <c r="Z144" t="str">
        <f t="shared" si="199"/>
        <v>No</v>
      </c>
      <c r="AA144" t="str">
        <f t="shared" si="200"/>
        <v>No</v>
      </c>
      <c r="AB144" t="str">
        <f t="shared" si="201"/>
        <v>No</v>
      </c>
      <c r="AC144" t="str">
        <f t="shared" si="202"/>
        <v>No</v>
      </c>
      <c r="AD144" t="str">
        <f t="shared" si="203"/>
        <v>No</v>
      </c>
      <c r="AE144" t="str">
        <f t="shared" si="204"/>
        <v>No</v>
      </c>
      <c r="AF144" t="str">
        <f t="shared" si="205"/>
        <v>No</v>
      </c>
      <c r="AG144" t="str">
        <f t="shared" si="206"/>
        <v>No</v>
      </c>
      <c r="AH144" t="str">
        <f t="shared" si="207"/>
        <v>No</v>
      </c>
      <c r="AI144" t="str">
        <f t="shared" si="208"/>
        <v>No</v>
      </c>
      <c r="AJ144" t="str">
        <f t="shared" si="209"/>
        <v>No</v>
      </c>
      <c r="AK144" t="str">
        <f t="shared" si="210"/>
        <v>No</v>
      </c>
      <c r="AL144" t="str">
        <f t="shared" si="211"/>
        <v>No</v>
      </c>
      <c r="AM144" t="str">
        <f t="shared" si="212"/>
        <v>No</v>
      </c>
      <c r="AN144" t="str">
        <f t="shared" si="213"/>
        <v>No</v>
      </c>
      <c r="AP144" t="str">
        <f t="shared" si="214"/>
        <v>No</v>
      </c>
      <c r="AQ144" t="str">
        <f t="shared" si="215"/>
        <v>No</v>
      </c>
      <c r="AR144" t="str">
        <f t="shared" si="216"/>
        <v>No</v>
      </c>
      <c r="AS144" t="str">
        <f t="shared" si="217"/>
        <v>No</v>
      </c>
      <c r="AT144" t="str">
        <f t="shared" si="218"/>
        <v>No</v>
      </c>
      <c r="AU144" t="str">
        <f t="shared" si="219"/>
        <v>No</v>
      </c>
      <c r="AV144" t="str">
        <f t="shared" si="220"/>
        <v>No</v>
      </c>
      <c r="AW144" t="str">
        <f t="shared" si="221"/>
        <v>No</v>
      </c>
      <c r="AX144" t="str">
        <f t="shared" si="222"/>
        <v>No</v>
      </c>
      <c r="AY144" t="str">
        <f t="shared" si="223"/>
        <v>No</v>
      </c>
      <c r="AZ144" t="str">
        <f t="shared" si="224"/>
        <v>No</v>
      </c>
      <c r="BA144" t="str">
        <f t="shared" si="225"/>
        <v>No</v>
      </c>
      <c r="BB144" t="str">
        <f t="shared" si="226"/>
        <v>No</v>
      </c>
      <c r="BC144" t="str">
        <f t="shared" si="227"/>
        <v>No</v>
      </c>
      <c r="BD144" t="str">
        <f t="shared" si="228"/>
        <v>No</v>
      </c>
      <c r="BF144" t="str">
        <f t="shared" si="229"/>
        <v>No</v>
      </c>
      <c r="BG144" t="str">
        <f t="shared" si="230"/>
        <v>No</v>
      </c>
      <c r="BH144" t="str">
        <f t="shared" si="231"/>
        <v>No</v>
      </c>
      <c r="BI144" t="str">
        <f t="shared" si="232"/>
        <v>No</v>
      </c>
      <c r="BJ144" t="str">
        <f t="shared" si="233"/>
        <v>No</v>
      </c>
      <c r="BK144" t="str">
        <f t="shared" si="234"/>
        <v>No</v>
      </c>
      <c r="BL144" t="str">
        <f t="shared" si="235"/>
        <v>No</v>
      </c>
      <c r="BM144" t="str">
        <f t="shared" si="236"/>
        <v>No</v>
      </c>
      <c r="BN144" t="str">
        <f t="shared" si="237"/>
        <v>No</v>
      </c>
      <c r="BQ144" t="str">
        <f t="shared" si="238"/>
        <v>No</v>
      </c>
      <c r="BR144" t="str">
        <f t="shared" si="239"/>
        <v>No</v>
      </c>
      <c r="BS144" t="str">
        <f t="shared" si="240"/>
        <v>No</v>
      </c>
      <c r="BT144" t="str">
        <f t="shared" si="241"/>
        <v>No</v>
      </c>
      <c r="BU144" t="str">
        <f t="shared" si="242"/>
        <v>No</v>
      </c>
      <c r="BV144" t="str">
        <f t="shared" si="243"/>
        <v>No</v>
      </c>
      <c r="BW144" t="str">
        <f t="shared" si="244"/>
        <v>No</v>
      </c>
      <c r="BX144" t="str">
        <f t="shared" si="245"/>
        <v>No</v>
      </c>
      <c r="BY144" t="str">
        <f t="shared" si="246"/>
        <v>No</v>
      </c>
      <c r="BZ144" t="str">
        <f t="shared" si="247"/>
        <v>No</v>
      </c>
      <c r="CA144" t="str">
        <f t="shared" si="248"/>
        <v>No</v>
      </c>
      <c r="CB144" t="str">
        <f t="shared" si="249"/>
        <v>No</v>
      </c>
      <c r="CC144" t="str">
        <f t="shared" si="250"/>
        <v>No</v>
      </c>
      <c r="CD144" t="str">
        <f t="shared" si="251"/>
        <v>No</v>
      </c>
      <c r="CE144" t="str">
        <f t="shared" si="252"/>
        <v>No</v>
      </c>
      <c r="CF144" t="str">
        <f t="shared" si="253"/>
        <v>No</v>
      </c>
      <c r="CG144" t="str">
        <f t="shared" si="254"/>
        <v>No</v>
      </c>
      <c r="CH144" t="str">
        <f t="shared" si="255"/>
        <v>No</v>
      </c>
      <c r="CI144" t="str">
        <f t="shared" si="256"/>
        <v>No</v>
      </c>
      <c r="CJ144" t="str">
        <f t="shared" si="257"/>
        <v>No</v>
      </c>
      <c r="CK144" t="str">
        <f t="shared" si="258"/>
        <v>No</v>
      </c>
      <c r="CL144" t="str">
        <f t="shared" si="259"/>
        <v>No</v>
      </c>
      <c r="CM144" t="str">
        <f t="shared" si="260"/>
        <v>No</v>
      </c>
      <c r="CN144" t="str">
        <f t="shared" si="261"/>
        <v>No</v>
      </c>
      <c r="CO144" t="str">
        <f t="shared" si="262"/>
        <v>No</v>
      </c>
      <c r="CP144" t="str">
        <f t="shared" si="263"/>
        <v>No</v>
      </c>
      <c r="CQ144" t="str">
        <f t="shared" si="264"/>
        <v>No</v>
      </c>
      <c r="CR144" t="str">
        <f t="shared" si="265"/>
        <v>No</v>
      </c>
      <c r="CS144" t="str">
        <f t="shared" si="266"/>
        <v>No</v>
      </c>
      <c r="CT144" t="str">
        <f t="shared" si="267"/>
        <v>No</v>
      </c>
      <c r="CU144" t="str">
        <f t="shared" si="268"/>
        <v>No</v>
      </c>
      <c r="CV144" t="str">
        <f t="shared" si="269"/>
        <v>No</v>
      </c>
      <c r="CW144" t="str">
        <f t="shared" si="270"/>
        <v>No</v>
      </c>
      <c r="CX144" t="str">
        <f t="shared" si="271"/>
        <v>No</v>
      </c>
      <c r="CY144" t="str">
        <f t="shared" si="272"/>
        <v>No</v>
      </c>
      <c r="CZ144" t="str">
        <f t="shared" si="273"/>
        <v>No</v>
      </c>
      <c r="DA144" t="str">
        <f t="shared" si="274"/>
        <v>No</v>
      </c>
      <c r="DB144" t="str">
        <f t="shared" si="275"/>
        <v>No</v>
      </c>
      <c r="DC144" t="str">
        <f t="shared" si="276"/>
        <v>No</v>
      </c>
      <c r="DD144" t="str">
        <f t="shared" si="277"/>
        <v>No</v>
      </c>
      <c r="DE144" t="str">
        <f t="shared" si="278"/>
        <v>No</v>
      </c>
      <c r="DF144" t="str">
        <f t="shared" si="279"/>
        <v>No</v>
      </c>
      <c r="DG144" t="str">
        <f t="shared" si="280"/>
        <v>No</v>
      </c>
      <c r="DH144" t="str">
        <f t="shared" si="281"/>
        <v>No</v>
      </c>
      <c r="DI144" t="str">
        <f t="shared" si="282"/>
        <v>No</v>
      </c>
    </row>
    <row r="145" spans="1:113" x14ac:dyDescent="0.25">
      <c r="M145" s="109" t="e">
        <f t="shared" si="283"/>
        <v>#N/A</v>
      </c>
      <c r="N145" s="109" t="s">
        <v>471</v>
      </c>
    </row>
    <row r="146" spans="1:113" x14ac:dyDescent="0.25">
      <c r="M146" s="109" t="e">
        <f t="shared" si="283"/>
        <v>#N/A</v>
      </c>
      <c r="N146" s="109" t="s">
        <v>471</v>
      </c>
    </row>
    <row r="147" spans="1:113" x14ac:dyDescent="0.25">
      <c r="M147" s="109" t="e">
        <f t="shared" si="283"/>
        <v>#N/A</v>
      </c>
      <c r="N147" s="109" t="s">
        <v>471</v>
      </c>
    </row>
    <row r="148" spans="1:113" x14ac:dyDescent="0.25">
      <c r="M148" s="109" t="e">
        <f t="shared" si="283"/>
        <v>#N/A</v>
      </c>
      <c r="N148" s="109" t="s">
        <v>471</v>
      </c>
    </row>
    <row r="149" spans="1:113" x14ac:dyDescent="0.25">
      <c r="M149" s="109" t="e">
        <f t="shared" si="283"/>
        <v>#N/A</v>
      </c>
      <c r="N149" s="109" t="s">
        <v>471</v>
      </c>
    </row>
    <row r="150" spans="1:113" x14ac:dyDescent="0.25">
      <c r="M150" s="109" t="e">
        <f t="shared" si="283"/>
        <v>#N/A</v>
      </c>
      <c r="N150" s="109" t="s">
        <v>471</v>
      </c>
    </row>
    <row r="151" spans="1:113" x14ac:dyDescent="0.25">
      <c r="M151" s="109" t="e">
        <f t="shared" si="283"/>
        <v>#N/A</v>
      </c>
      <c r="N151" s="109" t="s">
        <v>471</v>
      </c>
    </row>
    <row r="152" spans="1:113" x14ac:dyDescent="0.25">
      <c r="M152" s="109" t="e">
        <f t="shared" si="283"/>
        <v>#N/A</v>
      </c>
      <c r="N152" s="109" t="s">
        <v>471</v>
      </c>
    </row>
    <row r="153" spans="1:113" x14ac:dyDescent="0.25">
      <c r="M153" s="109" t="e">
        <f t="shared" si="283"/>
        <v>#N/A</v>
      </c>
      <c r="N153" s="109" t="s">
        <v>471</v>
      </c>
    </row>
    <row r="154" spans="1:113" x14ac:dyDescent="0.25">
      <c r="M154" s="109" t="e">
        <f t="shared" si="283"/>
        <v>#N/A</v>
      </c>
      <c r="N154" s="109" t="s">
        <v>471</v>
      </c>
    </row>
    <row r="155" spans="1:113" x14ac:dyDescent="0.25">
      <c r="A155" s="109" t="s">
        <v>0</v>
      </c>
      <c r="B155" s="109" t="s">
        <v>1</v>
      </c>
      <c r="C155" s="109" t="s">
        <v>2</v>
      </c>
      <c r="D155" s="109" t="s">
        <v>3</v>
      </c>
      <c r="E155" s="109" t="s">
        <v>4</v>
      </c>
      <c r="F155" s="109" t="s">
        <v>167</v>
      </c>
      <c r="G155" s="109" t="s">
        <v>168</v>
      </c>
      <c r="H155" s="109" t="s">
        <v>7</v>
      </c>
      <c r="I155" s="109" t="s">
        <v>169</v>
      </c>
      <c r="J155" s="109" t="s">
        <v>170</v>
      </c>
      <c r="K155" s="109" t="s">
        <v>171</v>
      </c>
      <c r="L155" s="109" t="s">
        <v>172</v>
      </c>
      <c r="M155" s="109" t="s">
        <v>467</v>
      </c>
      <c r="N155" s="109" t="s">
        <v>479</v>
      </c>
    </row>
    <row r="156" spans="1:113" x14ac:dyDescent="0.25">
      <c r="M156" s="109" t="e">
        <f>RANK(L156, $L$156:$L$169,1)</f>
        <v>#N/A</v>
      </c>
      <c r="N156" s="109" t="s">
        <v>470</v>
      </c>
      <c r="O156" t="str">
        <f t="shared" si="188"/>
        <v>No</v>
      </c>
      <c r="P156" t="str">
        <f t="shared" si="189"/>
        <v>No</v>
      </c>
      <c r="Q156" t="str">
        <f t="shared" si="190"/>
        <v>No</v>
      </c>
      <c r="R156" t="str">
        <f t="shared" si="191"/>
        <v>No</v>
      </c>
      <c r="S156" t="str">
        <f t="shared" si="192"/>
        <v>No</v>
      </c>
      <c r="T156" t="str">
        <f t="shared" si="193"/>
        <v>No</v>
      </c>
      <c r="U156" t="str">
        <f t="shared" si="194"/>
        <v>No</v>
      </c>
      <c r="V156" t="str">
        <f t="shared" si="195"/>
        <v>No</v>
      </c>
      <c r="W156" t="str">
        <f t="shared" si="196"/>
        <v>0-117</v>
      </c>
      <c r="X156" t="str">
        <f t="shared" si="197"/>
        <v>No</v>
      </c>
      <c r="Y156" t="str">
        <f t="shared" si="198"/>
        <v>No</v>
      </c>
      <c r="Z156" t="str">
        <f t="shared" si="199"/>
        <v>No</v>
      </c>
      <c r="AA156" t="str">
        <f t="shared" si="200"/>
        <v>No</v>
      </c>
      <c r="AB156" t="str">
        <f t="shared" si="201"/>
        <v>No</v>
      </c>
      <c r="AC156" t="str">
        <f t="shared" si="202"/>
        <v>No</v>
      </c>
      <c r="AD156" t="str">
        <f t="shared" si="203"/>
        <v>No</v>
      </c>
      <c r="AE156" t="str">
        <f t="shared" si="204"/>
        <v>No</v>
      </c>
      <c r="AF156" t="str">
        <f t="shared" si="205"/>
        <v>No</v>
      </c>
      <c r="AG156" t="str">
        <f t="shared" si="206"/>
        <v>No</v>
      </c>
      <c r="AH156" t="str">
        <f t="shared" si="207"/>
        <v>No</v>
      </c>
      <c r="AI156" t="str">
        <f t="shared" si="208"/>
        <v>No</v>
      </c>
      <c r="AJ156" t="str">
        <f t="shared" si="209"/>
        <v>No</v>
      </c>
      <c r="AK156" t="str">
        <f t="shared" si="210"/>
        <v>No</v>
      </c>
      <c r="AL156" t="str">
        <f t="shared" si="211"/>
        <v>No</v>
      </c>
      <c r="AM156" t="str">
        <f t="shared" si="212"/>
        <v>No</v>
      </c>
      <c r="AN156" t="str">
        <f t="shared" si="213"/>
        <v>No</v>
      </c>
      <c r="AP156" t="str">
        <f t="shared" si="214"/>
        <v>No</v>
      </c>
      <c r="AQ156" t="str">
        <f t="shared" si="215"/>
        <v>No</v>
      </c>
      <c r="AR156" t="str">
        <f t="shared" si="216"/>
        <v>No</v>
      </c>
      <c r="AS156" t="str">
        <f t="shared" si="217"/>
        <v>No</v>
      </c>
      <c r="AT156" t="str">
        <f t="shared" si="218"/>
        <v>No</v>
      </c>
      <c r="AU156" t="str">
        <f t="shared" si="219"/>
        <v>No</v>
      </c>
      <c r="AV156" t="str">
        <f t="shared" si="220"/>
        <v>No</v>
      </c>
      <c r="AW156" t="str">
        <f t="shared" si="221"/>
        <v>No</v>
      </c>
      <c r="AX156" t="str">
        <f t="shared" si="222"/>
        <v>No</v>
      </c>
      <c r="AY156" t="str">
        <f t="shared" si="223"/>
        <v>No</v>
      </c>
      <c r="AZ156" t="str">
        <f t="shared" si="224"/>
        <v>No</v>
      </c>
      <c r="BA156" t="str">
        <f t="shared" si="225"/>
        <v>No</v>
      </c>
      <c r="BB156" t="str">
        <f t="shared" si="226"/>
        <v>No</v>
      </c>
      <c r="BC156" t="str">
        <f t="shared" si="227"/>
        <v>No</v>
      </c>
      <c r="BD156" t="str">
        <f t="shared" si="228"/>
        <v>No</v>
      </c>
      <c r="BF156" t="str">
        <f t="shared" si="229"/>
        <v>No</v>
      </c>
      <c r="BG156" t="str">
        <f t="shared" si="230"/>
        <v>No</v>
      </c>
      <c r="BH156" t="str">
        <f t="shared" si="231"/>
        <v>No</v>
      </c>
      <c r="BI156" t="str">
        <f t="shared" si="232"/>
        <v>No</v>
      </c>
      <c r="BJ156" t="str">
        <f t="shared" si="233"/>
        <v>No</v>
      </c>
      <c r="BK156" t="str">
        <f t="shared" si="234"/>
        <v>No</v>
      </c>
      <c r="BL156" t="str">
        <f t="shared" si="235"/>
        <v>No</v>
      </c>
      <c r="BM156" t="str">
        <f t="shared" si="236"/>
        <v>No</v>
      </c>
      <c r="BN156" t="str">
        <f t="shared" si="237"/>
        <v>No</v>
      </c>
      <c r="BQ156" t="str">
        <f t="shared" si="238"/>
        <v>No</v>
      </c>
      <c r="BR156" t="str">
        <f t="shared" si="239"/>
        <v>No</v>
      </c>
      <c r="BS156" t="str">
        <f t="shared" si="240"/>
        <v>No</v>
      </c>
      <c r="BT156" t="str">
        <f t="shared" si="241"/>
        <v>No</v>
      </c>
      <c r="BU156" t="str">
        <f t="shared" si="242"/>
        <v>No</v>
      </c>
      <c r="BV156" t="str">
        <f t="shared" si="243"/>
        <v>No</v>
      </c>
      <c r="BW156" t="str">
        <f t="shared" si="244"/>
        <v>No</v>
      </c>
      <c r="BX156" t="str">
        <f t="shared" si="245"/>
        <v>No</v>
      </c>
      <c r="BY156" t="str">
        <f t="shared" si="246"/>
        <v>No</v>
      </c>
      <c r="BZ156" t="str">
        <f t="shared" si="247"/>
        <v>No</v>
      </c>
      <c r="CA156" t="str">
        <f t="shared" si="248"/>
        <v>No</v>
      </c>
      <c r="CB156" t="str">
        <f t="shared" si="249"/>
        <v>No</v>
      </c>
      <c r="CC156" t="str">
        <f t="shared" si="250"/>
        <v>No</v>
      </c>
      <c r="CD156" t="str">
        <f t="shared" si="251"/>
        <v>No</v>
      </c>
      <c r="CE156" t="str">
        <f t="shared" si="252"/>
        <v>No</v>
      </c>
      <c r="CF156" t="str">
        <f t="shared" si="253"/>
        <v>No</v>
      </c>
      <c r="CG156" t="str">
        <f t="shared" si="254"/>
        <v>No</v>
      </c>
      <c r="CH156" t="str">
        <f t="shared" si="255"/>
        <v>No</v>
      </c>
      <c r="CI156" t="str">
        <f t="shared" si="256"/>
        <v>No</v>
      </c>
      <c r="CJ156" t="str">
        <f t="shared" si="257"/>
        <v>No</v>
      </c>
      <c r="CK156" t="str">
        <f t="shared" si="258"/>
        <v>No</v>
      </c>
      <c r="CL156" t="str">
        <f t="shared" si="259"/>
        <v>No</v>
      </c>
      <c r="CM156" t="str">
        <f t="shared" si="260"/>
        <v>No</v>
      </c>
      <c r="CN156" t="str">
        <f t="shared" si="261"/>
        <v>No</v>
      </c>
      <c r="CO156" t="str">
        <f t="shared" si="262"/>
        <v>No</v>
      </c>
      <c r="CP156" t="str">
        <f t="shared" si="263"/>
        <v>No</v>
      </c>
      <c r="CQ156" t="str">
        <f t="shared" si="264"/>
        <v>No</v>
      </c>
      <c r="CR156" t="str">
        <f t="shared" si="265"/>
        <v>No</v>
      </c>
      <c r="CS156" t="str">
        <f t="shared" si="266"/>
        <v>No</v>
      </c>
      <c r="CT156" t="str">
        <f t="shared" si="267"/>
        <v>No</v>
      </c>
      <c r="CU156" t="str">
        <f t="shared" si="268"/>
        <v>No</v>
      </c>
      <c r="CV156" t="str">
        <f t="shared" si="269"/>
        <v>No</v>
      </c>
      <c r="CW156" t="str">
        <f t="shared" si="270"/>
        <v>No</v>
      </c>
      <c r="CX156" t="str">
        <f t="shared" si="271"/>
        <v>No</v>
      </c>
      <c r="CY156" t="str">
        <f t="shared" si="272"/>
        <v>No</v>
      </c>
      <c r="CZ156" t="str">
        <f t="shared" si="273"/>
        <v>No</v>
      </c>
      <c r="DA156" t="str">
        <f t="shared" si="274"/>
        <v>No</v>
      </c>
      <c r="DB156" t="str">
        <f t="shared" si="275"/>
        <v>No</v>
      </c>
      <c r="DC156" t="str">
        <f t="shared" si="276"/>
        <v>No</v>
      </c>
      <c r="DD156" t="str">
        <f t="shared" si="277"/>
        <v>No</v>
      </c>
      <c r="DE156" t="str">
        <f t="shared" si="278"/>
        <v>No</v>
      </c>
      <c r="DF156" t="str">
        <f t="shared" si="279"/>
        <v>No</v>
      </c>
      <c r="DG156" t="str">
        <f t="shared" si="280"/>
        <v>No</v>
      </c>
      <c r="DH156" t="str">
        <f t="shared" si="281"/>
        <v>No</v>
      </c>
      <c r="DI156" t="str">
        <f t="shared" si="282"/>
        <v>No</v>
      </c>
    </row>
    <row r="157" spans="1:113" x14ac:dyDescent="0.25">
      <c r="M157" s="109" t="e">
        <f t="shared" ref="M157:M169" si="284">RANK(L157, $L$156:$L$169,1)</f>
        <v>#N/A</v>
      </c>
      <c r="N157" s="109" t="s">
        <v>470</v>
      </c>
      <c r="O157" t="str">
        <f t="shared" si="188"/>
        <v>No</v>
      </c>
      <c r="P157" t="str">
        <f t="shared" si="189"/>
        <v>No</v>
      </c>
      <c r="Q157" t="str">
        <f t="shared" si="190"/>
        <v>No</v>
      </c>
      <c r="R157" t="str">
        <f t="shared" si="191"/>
        <v>No</v>
      </c>
      <c r="S157" t="str">
        <f t="shared" si="192"/>
        <v>No</v>
      </c>
      <c r="T157" t="str">
        <f t="shared" si="193"/>
        <v>No</v>
      </c>
      <c r="U157" t="str">
        <f t="shared" si="194"/>
        <v>No</v>
      </c>
      <c r="V157" t="str">
        <f t="shared" si="195"/>
        <v>No</v>
      </c>
      <c r="W157" t="str">
        <f t="shared" si="196"/>
        <v>0-117</v>
      </c>
      <c r="X157" t="str">
        <f t="shared" si="197"/>
        <v>No</v>
      </c>
      <c r="Y157" t="str">
        <f t="shared" si="198"/>
        <v>No</v>
      </c>
      <c r="Z157" t="str">
        <f t="shared" si="199"/>
        <v>No</v>
      </c>
      <c r="AA157" t="str">
        <f t="shared" si="200"/>
        <v>No</v>
      </c>
      <c r="AB157" t="str">
        <f t="shared" si="201"/>
        <v>No</v>
      </c>
      <c r="AC157" t="str">
        <f t="shared" si="202"/>
        <v>No</v>
      </c>
      <c r="AD157" t="str">
        <f t="shared" si="203"/>
        <v>No</v>
      </c>
      <c r="AE157" t="str">
        <f t="shared" si="204"/>
        <v>No</v>
      </c>
      <c r="AF157" t="str">
        <f t="shared" si="205"/>
        <v>No</v>
      </c>
      <c r="AG157" t="str">
        <f t="shared" si="206"/>
        <v>No</v>
      </c>
      <c r="AH157" t="str">
        <f t="shared" si="207"/>
        <v>No</v>
      </c>
      <c r="AI157" t="str">
        <f t="shared" si="208"/>
        <v>No</v>
      </c>
      <c r="AJ157" t="str">
        <f t="shared" si="209"/>
        <v>No</v>
      </c>
      <c r="AK157" t="str">
        <f t="shared" si="210"/>
        <v>No</v>
      </c>
      <c r="AL157" t="str">
        <f t="shared" si="211"/>
        <v>No</v>
      </c>
      <c r="AM157" t="str">
        <f t="shared" si="212"/>
        <v>No</v>
      </c>
      <c r="AN157" t="str">
        <f t="shared" si="213"/>
        <v>No</v>
      </c>
      <c r="AP157" t="str">
        <f t="shared" si="214"/>
        <v>No</v>
      </c>
      <c r="AQ157" t="str">
        <f t="shared" si="215"/>
        <v>No</v>
      </c>
      <c r="AR157" t="str">
        <f t="shared" si="216"/>
        <v>No</v>
      </c>
      <c r="AS157" t="str">
        <f t="shared" si="217"/>
        <v>No</v>
      </c>
      <c r="AT157" t="str">
        <f t="shared" si="218"/>
        <v>No</v>
      </c>
      <c r="AU157" t="str">
        <f t="shared" si="219"/>
        <v>No</v>
      </c>
      <c r="AV157" t="str">
        <f t="shared" si="220"/>
        <v>No</v>
      </c>
      <c r="AW157" t="str">
        <f t="shared" si="221"/>
        <v>No</v>
      </c>
      <c r="AX157" t="str">
        <f t="shared" si="222"/>
        <v>No</v>
      </c>
      <c r="AY157" t="str">
        <f t="shared" si="223"/>
        <v>No</v>
      </c>
      <c r="AZ157" t="str">
        <f t="shared" si="224"/>
        <v>No</v>
      </c>
      <c r="BA157" t="str">
        <f t="shared" si="225"/>
        <v>No</v>
      </c>
      <c r="BB157" t="str">
        <f t="shared" si="226"/>
        <v>No</v>
      </c>
      <c r="BC157" t="str">
        <f t="shared" si="227"/>
        <v>No</v>
      </c>
      <c r="BD157" t="str">
        <f t="shared" si="228"/>
        <v>No</v>
      </c>
      <c r="BF157" t="str">
        <f t="shared" si="229"/>
        <v>No</v>
      </c>
      <c r="BG157" t="str">
        <f t="shared" si="230"/>
        <v>No</v>
      </c>
      <c r="BH157" t="str">
        <f t="shared" si="231"/>
        <v>No</v>
      </c>
      <c r="BI157" t="str">
        <f t="shared" si="232"/>
        <v>No</v>
      </c>
      <c r="BJ157" t="str">
        <f t="shared" si="233"/>
        <v>No</v>
      </c>
      <c r="BK157" t="str">
        <f t="shared" si="234"/>
        <v>No</v>
      </c>
      <c r="BL157" t="str">
        <f t="shared" si="235"/>
        <v>No</v>
      </c>
      <c r="BM157" t="str">
        <f t="shared" si="236"/>
        <v>No</v>
      </c>
      <c r="BN157" t="str">
        <f t="shared" si="237"/>
        <v>No</v>
      </c>
      <c r="BQ157" t="str">
        <f t="shared" si="238"/>
        <v>No</v>
      </c>
      <c r="BR157" t="str">
        <f t="shared" si="239"/>
        <v>No</v>
      </c>
      <c r="BS157" t="str">
        <f t="shared" si="240"/>
        <v>No</v>
      </c>
      <c r="BT157" t="str">
        <f t="shared" si="241"/>
        <v>No</v>
      </c>
      <c r="BU157" t="str">
        <f t="shared" si="242"/>
        <v>No</v>
      </c>
      <c r="BV157" t="str">
        <f t="shared" si="243"/>
        <v>No</v>
      </c>
      <c r="BW157" t="str">
        <f t="shared" si="244"/>
        <v>No</v>
      </c>
      <c r="BX157" t="str">
        <f t="shared" si="245"/>
        <v>No</v>
      </c>
      <c r="BY157" t="str">
        <f t="shared" si="246"/>
        <v>No</v>
      </c>
      <c r="BZ157" t="str">
        <f t="shared" si="247"/>
        <v>No</v>
      </c>
      <c r="CA157" t="str">
        <f t="shared" si="248"/>
        <v>No</v>
      </c>
      <c r="CB157" t="str">
        <f t="shared" si="249"/>
        <v>No</v>
      </c>
      <c r="CC157" t="str">
        <f t="shared" si="250"/>
        <v>No</v>
      </c>
      <c r="CD157" t="str">
        <f t="shared" si="251"/>
        <v>No</v>
      </c>
      <c r="CE157" t="str">
        <f t="shared" si="252"/>
        <v>No</v>
      </c>
      <c r="CF157" t="str">
        <f t="shared" si="253"/>
        <v>No</v>
      </c>
      <c r="CG157" t="str">
        <f t="shared" si="254"/>
        <v>No</v>
      </c>
      <c r="CH157" t="str">
        <f t="shared" si="255"/>
        <v>No</v>
      </c>
      <c r="CI157" t="str">
        <f t="shared" si="256"/>
        <v>No</v>
      </c>
      <c r="CJ157" t="str">
        <f t="shared" si="257"/>
        <v>No</v>
      </c>
      <c r="CK157" t="str">
        <f t="shared" si="258"/>
        <v>No</v>
      </c>
      <c r="CL157" t="str">
        <f t="shared" si="259"/>
        <v>No</v>
      </c>
      <c r="CM157" t="str">
        <f t="shared" si="260"/>
        <v>No</v>
      </c>
      <c r="CN157" t="str">
        <f t="shared" si="261"/>
        <v>No</v>
      </c>
      <c r="CO157" t="str">
        <f t="shared" si="262"/>
        <v>No</v>
      </c>
      <c r="CP157" t="str">
        <f t="shared" si="263"/>
        <v>No</v>
      </c>
      <c r="CQ157" t="str">
        <f t="shared" si="264"/>
        <v>No</v>
      </c>
      <c r="CR157" t="str">
        <f t="shared" si="265"/>
        <v>No</v>
      </c>
      <c r="CS157" t="str">
        <f t="shared" si="266"/>
        <v>No</v>
      </c>
      <c r="CT157" t="str">
        <f t="shared" si="267"/>
        <v>No</v>
      </c>
      <c r="CU157" t="str">
        <f t="shared" si="268"/>
        <v>No</v>
      </c>
      <c r="CV157" t="str">
        <f t="shared" si="269"/>
        <v>No</v>
      </c>
      <c r="CW157" t="str">
        <f t="shared" si="270"/>
        <v>No</v>
      </c>
      <c r="CX157" t="str">
        <f t="shared" si="271"/>
        <v>No</v>
      </c>
      <c r="CY157" t="str">
        <f t="shared" si="272"/>
        <v>No</v>
      </c>
      <c r="CZ157" t="str">
        <f t="shared" si="273"/>
        <v>No</v>
      </c>
      <c r="DA157" t="str">
        <f t="shared" si="274"/>
        <v>No</v>
      </c>
      <c r="DB157" t="str">
        <f t="shared" si="275"/>
        <v>No</v>
      </c>
      <c r="DC157" t="str">
        <f t="shared" si="276"/>
        <v>No</v>
      </c>
      <c r="DD157" t="str">
        <f t="shared" si="277"/>
        <v>No</v>
      </c>
      <c r="DE157" t="str">
        <f t="shared" si="278"/>
        <v>No</v>
      </c>
      <c r="DF157" t="str">
        <f t="shared" si="279"/>
        <v>No</v>
      </c>
      <c r="DG157" t="str">
        <f t="shared" si="280"/>
        <v>No</v>
      </c>
      <c r="DH157" t="str">
        <f t="shared" si="281"/>
        <v>No</v>
      </c>
      <c r="DI157" t="str">
        <f t="shared" si="282"/>
        <v>No</v>
      </c>
    </row>
    <row r="158" spans="1:113" x14ac:dyDescent="0.25">
      <c r="M158" s="109" t="e">
        <f t="shared" si="284"/>
        <v>#N/A</v>
      </c>
      <c r="N158" s="109" t="s">
        <v>470</v>
      </c>
      <c r="O158" t="str">
        <f t="shared" si="188"/>
        <v>No</v>
      </c>
      <c r="P158" t="str">
        <f t="shared" si="189"/>
        <v>No</v>
      </c>
      <c r="Q158" t="str">
        <f t="shared" si="190"/>
        <v>No</v>
      </c>
      <c r="R158" t="str">
        <f t="shared" si="191"/>
        <v>No</v>
      </c>
      <c r="S158" t="str">
        <f t="shared" si="192"/>
        <v>No</v>
      </c>
      <c r="T158" t="str">
        <f t="shared" si="193"/>
        <v>No</v>
      </c>
      <c r="U158" t="str">
        <f t="shared" si="194"/>
        <v>No</v>
      </c>
      <c r="V158" t="str">
        <f t="shared" si="195"/>
        <v>No</v>
      </c>
      <c r="W158" t="str">
        <f t="shared" si="196"/>
        <v>0-117</v>
      </c>
      <c r="X158" t="str">
        <f t="shared" si="197"/>
        <v>No</v>
      </c>
      <c r="Y158" t="str">
        <f t="shared" si="198"/>
        <v>No</v>
      </c>
      <c r="Z158" t="str">
        <f t="shared" si="199"/>
        <v>No</v>
      </c>
      <c r="AA158" t="str">
        <f t="shared" si="200"/>
        <v>No</v>
      </c>
      <c r="AB158" t="str">
        <f t="shared" si="201"/>
        <v>No</v>
      </c>
      <c r="AC158" t="str">
        <f t="shared" si="202"/>
        <v>No</v>
      </c>
      <c r="AD158" t="str">
        <f t="shared" si="203"/>
        <v>No</v>
      </c>
      <c r="AE158" t="str">
        <f t="shared" si="204"/>
        <v>No</v>
      </c>
      <c r="AF158" t="str">
        <f t="shared" si="205"/>
        <v>No</v>
      </c>
      <c r="AG158" t="str">
        <f t="shared" si="206"/>
        <v>No</v>
      </c>
      <c r="AH158" t="str">
        <f t="shared" si="207"/>
        <v>No</v>
      </c>
      <c r="AI158" t="str">
        <f t="shared" si="208"/>
        <v>No</v>
      </c>
      <c r="AJ158" t="str">
        <f t="shared" si="209"/>
        <v>No</v>
      </c>
      <c r="AK158" t="str">
        <f t="shared" si="210"/>
        <v>No</v>
      </c>
      <c r="AL158" t="str">
        <f t="shared" si="211"/>
        <v>No</v>
      </c>
      <c r="AM158" t="str">
        <f t="shared" si="212"/>
        <v>No</v>
      </c>
      <c r="AN158" t="str">
        <f t="shared" si="213"/>
        <v>No</v>
      </c>
      <c r="AP158" t="str">
        <f t="shared" si="214"/>
        <v>No</v>
      </c>
      <c r="AQ158" t="str">
        <f t="shared" si="215"/>
        <v>No</v>
      </c>
      <c r="AR158" t="str">
        <f t="shared" si="216"/>
        <v>No</v>
      </c>
      <c r="AS158" t="str">
        <f t="shared" si="217"/>
        <v>No</v>
      </c>
      <c r="AT158" t="str">
        <f t="shared" si="218"/>
        <v>No</v>
      </c>
      <c r="AU158" t="str">
        <f t="shared" si="219"/>
        <v>No</v>
      </c>
      <c r="AV158" t="str">
        <f t="shared" si="220"/>
        <v>No</v>
      </c>
      <c r="AW158" t="str">
        <f t="shared" si="221"/>
        <v>No</v>
      </c>
      <c r="AX158" t="str">
        <f t="shared" si="222"/>
        <v>No</v>
      </c>
      <c r="AY158" t="str">
        <f t="shared" si="223"/>
        <v>No</v>
      </c>
      <c r="AZ158" t="str">
        <f t="shared" si="224"/>
        <v>No</v>
      </c>
      <c r="BA158" t="str">
        <f t="shared" si="225"/>
        <v>No</v>
      </c>
      <c r="BB158" t="str">
        <f t="shared" si="226"/>
        <v>No</v>
      </c>
      <c r="BC158" t="str">
        <f t="shared" si="227"/>
        <v>No</v>
      </c>
      <c r="BD158" t="str">
        <f t="shared" si="228"/>
        <v>No</v>
      </c>
      <c r="BF158" t="str">
        <f t="shared" si="229"/>
        <v>No</v>
      </c>
      <c r="BG158" t="str">
        <f t="shared" si="230"/>
        <v>No</v>
      </c>
      <c r="BH158" t="str">
        <f t="shared" si="231"/>
        <v>No</v>
      </c>
      <c r="BI158" t="str">
        <f t="shared" si="232"/>
        <v>No</v>
      </c>
      <c r="BJ158" t="str">
        <f t="shared" si="233"/>
        <v>No</v>
      </c>
      <c r="BK158" t="str">
        <f t="shared" si="234"/>
        <v>No</v>
      </c>
      <c r="BL158" t="str">
        <f t="shared" si="235"/>
        <v>No</v>
      </c>
      <c r="BM158" t="str">
        <f t="shared" si="236"/>
        <v>No</v>
      </c>
      <c r="BN158" t="str">
        <f t="shared" si="237"/>
        <v>No</v>
      </c>
      <c r="BQ158" t="str">
        <f t="shared" si="238"/>
        <v>No</v>
      </c>
      <c r="BR158" t="str">
        <f t="shared" si="239"/>
        <v>No</v>
      </c>
      <c r="BS158" t="str">
        <f t="shared" si="240"/>
        <v>No</v>
      </c>
      <c r="BT158" t="str">
        <f t="shared" si="241"/>
        <v>No</v>
      </c>
      <c r="BU158" t="str">
        <f t="shared" si="242"/>
        <v>No</v>
      </c>
      <c r="BV158" t="str">
        <f t="shared" si="243"/>
        <v>No</v>
      </c>
      <c r="BW158" t="str">
        <f t="shared" si="244"/>
        <v>No</v>
      </c>
      <c r="BX158" t="str">
        <f t="shared" si="245"/>
        <v>No</v>
      </c>
      <c r="BY158" t="str">
        <f t="shared" si="246"/>
        <v>No</v>
      </c>
      <c r="BZ158" t="str">
        <f t="shared" si="247"/>
        <v>No</v>
      </c>
      <c r="CA158" t="str">
        <f t="shared" si="248"/>
        <v>No</v>
      </c>
      <c r="CB158" t="str">
        <f t="shared" si="249"/>
        <v>No</v>
      </c>
      <c r="CC158" t="str">
        <f t="shared" si="250"/>
        <v>No</v>
      </c>
      <c r="CD158" t="str">
        <f t="shared" si="251"/>
        <v>No</v>
      </c>
      <c r="CE158" t="str">
        <f t="shared" si="252"/>
        <v>No</v>
      </c>
      <c r="CF158" t="str">
        <f t="shared" si="253"/>
        <v>No</v>
      </c>
      <c r="CG158" t="str">
        <f t="shared" si="254"/>
        <v>No</v>
      </c>
      <c r="CH158" t="str">
        <f t="shared" si="255"/>
        <v>No</v>
      </c>
      <c r="CI158" t="str">
        <f t="shared" si="256"/>
        <v>No</v>
      </c>
      <c r="CJ158" t="str">
        <f t="shared" si="257"/>
        <v>No</v>
      </c>
      <c r="CK158" t="str">
        <f t="shared" si="258"/>
        <v>No</v>
      </c>
      <c r="CL158" t="str">
        <f t="shared" si="259"/>
        <v>No</v>
      </c>
      <c r="CM158" t="str">
        <f t="shared" si="260"/>
        <v>No</v>
      </c>
      <c r="CN158" t="str">
        <f t="shared" si="261"/>
        <v>No</v>
      </c>
      <c r="CO158" t="str">
        <f t="shared" si="262"/>
        <v>No</v>
      </c>
      <c r="CP158" t="str">
        <f t="shared" si="263"/>
        <v>No</v>
      </c>
      <c r="CQ158" t="str">
        <f t="shared" si="264"/>
        <v>No</v>
      </c>
      <c r="CR158" t="str">
        <f t="shared" si="265"/>
        <v>No</v>
      </c>
      <c r="CS158" t="str">
        <f t="shared" si="266"/>
        <v>No</v>
      </c>
      <c r="CT158" t="str">
        <f t="shared" si="267"/>
        <v>No</v>
      </c>
      <c r="CU158" t="str">
        <f t="shared" si="268"/>
        <v>No</v>
      </c>
      <c r="CV158" t="str">
        <f t="shared" si="269"/>
        <v>No</v>
      </c>
      <c r="CW158" t="str">
        <f t="shared" si="270"/>
        <v>No</v>
      </c>
      <c r="CX158" t="str">
        <f t="shared" si="271"/>
        <v>No</v>
      </c>
      <c r="CY158" t="str">
        <f t="shared" si="272"/>
        <v>No</v>
      </c>
      <c r="CZ158" t="str">
        <f t="shared" si="273"/>
        <v>No</v>
      </c>
      <c r="DA158" t="str">
        <f t="shared" si="274"/>
        <v>No</v>
      </c>
      <c r="DB158" t="str">
        <f t="shared" si="275"/>
        <v>No</v>
      </c>
      <c r="DC158" t="str">
        <f t="shared" si="276"/>
        <v>No</v>
      </c>
      <c r="DD158" t="str">
        <f t="shared" si="277"/>
        <v>No</v>
      </c>
      <c r="DE158" t="str">
        <f t="shared" si="278"/>
        <v>No</v>
      </c>
      <c r="DF158" t="str">
        <f t="shared" si="279"/>
        <v>No</v>
      </c>
      <c r="DG158" t="str">
        <f t="shared" si="280"/>
        <v>No</v>
      </c>
      <c r="DH158" t="str">
        <f t="shared" si="281"/>
        <v>No</v>
      </c>
      <c r="DI158" t="str">
        <f t="shared" si="282"/>
        <v>No</v>
      </c>
    </row>
    <row r="159" spans="1:113" x14ac:dyDescent="0.25">
      <c r="M159" s="109" t="e">
        <f t="shared" si="284"/>
        <v>#N/A</v>
      </c>
      <c r="N159" s="109" t="s">
        <v>470</v>
      </c>
      <c r="O159" t="str">
        <f t="shared" si="188"/>
        <v>No</v>
      </c>
      <c r="P159" t="str">
        <f t="shared" si="189"/>
        <v>No</v>
      </c>
      <c r="Q159" t="str">
        <f t="shared" si="190"/>
        <v>No</v>
      </c>
      <c r="R159" t="str">
        <f t="shared" si="191"/>
        <v>No</v>
      </c>
      <c r="S159" t="str">
        <f t="shared" si="192"/>
        <v>No</v>
      </c>
      <c r="T159" t="str">
        <f t="shared" si="193"/>
        <v>No</v>
      </c>
      <c r="U159" t="str">
        <f t="shared" si="194"/>
        <v>No</v>
      </c>
      <c r="V159" t="str">
        <f t="shared" si="195"/>
        <v>No</v>
      </c>
      <c r="W159" t="str">
        <f t="shared" si="196"/>
        <v>0-117</v>
      </c>
      <c r="X159" t="str">
        <f t="shared" si="197"/>
        <v>No</v>
      </c>
      <c r="Y159" t="str">
        <f t="shared" si="198"/>
        <v>No</v>
      </c>
      <c r="Z159" t="str">
        <f t="shared" si="199"/>
        <v>No</v>
      </c>
      <c r="AA159" t="str">
        <f t="shared" si="200"/>
        <v>No</v>
      </c>
      <c r="AB159" t="str">
        <f t="shared" si="201"/>
        <v>No</v>
      </c>
      <c r="AC159" t="str">
        <f t="shared" si="202"/>
        <v>No</v>
      </c>
      <c r="AD159" t="str">
        <f t="shared" si="203"/>
        <v>No</v>
      </c>
      <c r="AE159" t="str">
        <f t="shared" si="204"/>
        <v>No</v>
      </c>
      <c r="AF159" t="str">
        <f t="shared" si="205"/>
        <v>No</v>
      </c>
      <c r="AG159" t="str">
        <f t="shared" si="206"/>
        <v>No</v>
      </c>
      <c r="AH159" t="str">
        <f t="shared" si="207"/>
        <v>No</v>
      </c>
      <c r="AI159" t="str">
        <f t="shared" si="208"/>
        <v>No</v>
      </c>
      <c r="AJ159" t="str">
        <f t="shared" si="209"/>
        <v>No</v>
      </c>
      <c r="AK159" t="str">
        <f t="shared" si="210"/>
        <v>No</v>
      </c>
      <c r="AL159" t="str">
        <f t="shared" si="211"/>
        <v>No</v>
      </c>
      <c r="AM159" t="str">
        <f t="shared" si="212"/>
        <v>No</v>
      </c>
      <c r="AN159" t="str">
        <f t="shared" si="213"/>
        <v>No</v>
      </c>
      <c r="AP159" t="str">
        <f t="shared" si="214"/>
        <v>No</v>
      </c>
      <c r="AQ159" t="str">
        <f t="shared" si="215"/>
        <v>No</v>
      </c>
      <c r="AR159" t="str">
        <f t="shared" si="216"/>
        <v>No</v>
      </c>
      <c r="AS159" t="str">
        <f t="shared" si="217"/>
        <v>No</v>
      </c>
      <c r="AT159" t="str">
        <f t="shared" si="218"/>
        <v>No</v>
      </c>
      <c r="AU159" t="str">
        <f t="shared" si="219"/>
        <v>No</v>
      </c>
      <c r="AV159" t="str">
        <f t="shared" si="220"/>
        <v>No</v>
      </c>
      <c r="AW159" t="str">
        <f t="shared" si="221"/>
        <v>No</v>
      </c>
      <c r="AX159" t="str">
        <f t="shared" si="222"/>
        <v>No</v>
      </c>
      <c r="AY159" t="str">
        <f t="shared" si="223"/>
        <v>No</v>
      </c>
      <c r="AZ159" t="str">
        <f t="shared" si="224"/>
        <v>No</v>
      </c>
      <c r="BA159" t="str">
        <f t="shared" si="225"/>
        <v>No</v>
      </c>
      <c r="BB159" t="str">
        <f t="shared" si="226"/>
        <v>No</v>
      </c>
      <c r="BC159" t="str">
        <f t="shared" si="227"/>
        <v>No</v>
      </c>
      <c r="BD159" t="str">
        <f t="shared" si="228"/>
        <v>No</v>
      </c>
      <c r="BF159" t="str">
        <f t="shared" si="229"/>
        <v>No</v>
      </c>
      <c r="BG159" t="str">
        <f t="shared" si="230"/>
        <v>No</v>
      </c>
      <c r="BH159" t="str">
        <f t="shared" si="231"/>
        <v>No</v>
      </c>
      <c r="BI159" t="str">
        <f t="shared" si="232"/>
        <v>No</v>
      </c>
      <c r="BJ159" t="str">
        <f t="shared" si="233"/>
        <v>No</v>
      </c>
      <c r="BK159" t="str">
        <f t="shared" si="234"/>
        <v>No</v>
      </c>
      <c r="BL159" t="str">
        <f t="shared" si="235"/>
        <v>No</v>
      </c>
      <c r="BM159" t="str">
        <f t="shared" si="236"/>
        <v>No</v>
      </c>
      <c r="BN159" t="str">
        <f t="shared" si="237"/>
        <v>No</v>
      </c>
      <c r="BQ159" t="str">
        <f t="shared" si="238"/>
        <v>No</v>
      </c>
      <c r="BR159" t="str">
        <f t="shared" si="239"/>
        <v>No</v>
      </c>
      <c r="BS159" t="str">
        <f t="shared" si="240"/>
        <v>No</v>
      </c>
      <c r="BT159" t="str">
        <f t="shared" si="241"/>
        <v>No</v>
      </c>
      <c r="BU159" t="str">
        <f t="shared" si="242"/>
        <v>No</v>
      </c>
      <c r="BV159" t="str">
        <f t="shared" si="243"/>
        <v>No</v>
      </c>
      <c r="BW159" t="str">
        <f t="shared" si="244"/>
        <v>No</v>
      </c>
      <c r="BX159" t="str">
        <f t="shared" si="245"/>
        <v>No</v>
      </c>
      <c r="BY159" t="str">
        <f t="shared" si="246"/>
        <v>No</v>
      </c>
      <c r="BZ159" t="str">
        <f t="shared" si="247"/>
        <v>No</v>
      </c>
      <c r="CA159" t="str">
        <f t="shared" si="248"/>
        <v>No</v>
      </c>
      <c r="CB159" t="str">
        <f t="shared" si="249"/>
        <v>No</v>
      </c>
      <c r="CC159" t="str">
        <f t="shared" si="250"/>
        <v>No</v>
      </c>
      <c r="CD159" t="str">
        <f t="shared" si="251"/>
        <v>No</v>
      </c>
      <c r="CE159" t="str">
        <f t="shared" si="252"/>
        <v>No</v>
      </c>
      <c r="CF159" t="str">
        <f t="shared" si="253"/>
        <v>No</v>
      </c>
      <c r="CG159" t="str">
        <f t="shared" si="254"/>
        <v>No</v>
      </c>
      <c r="CH159" t="str">
        <f t="shared" si="255"/>
        <v>No</v>
      </c>
      <c r="CI159" t="str">
        <f t="shared" si="256"/>
        <v>No</v>
      </c>
      <c r="CJ159" t="str">
        <f t="shared" si="257"/>
        <v>No</v>
      </c>
      <c r="CK159" t="str">
        <f t="shared" si="258"/>
        <v>No</v>
      </c>
      <c r="CL159" t="str">
        <f t="shared" si="259"/>
        <v>No</v>
      </c>
      <c r="CM159" t="str">
        <f t="shared" si="260"/>
        <v>No</v>
      </c>
      <c r="CN159" t="str">
        <f t="shared" si="261"/>
        <v>No</v>
      </c>
      <c r="CO159" t="str">
        <f t="shared" si="262"/>
        <v>No</v>
      </c>
      <c r="CP159" t="str">
        <f t="shared" si="263"/>
        <v>No</v>
      </c>
      <c r="CQ159" t="str">
        <f t="shared" si="264"/>
        <v>No</v>
      </c>
      <c r="CR159" t="str">
        <f t="shared" si="265"/>
        <v>No</v>
      </c>
      <c r="CS159" t="str">
        <f t="shared" si="266"/>
        <v>No</v>
      </c>
      <c r="CT159" t="str">
        <f t="shared" si="267"/>
        <v>No</v>
      </c>
      <c r="CU159" t="str">
        <f t="shared" si="268"/>
        <v>No</v>
      </c>
      <c r="CV159" t="str">
        <f t="shared" si="269"/>
        <v>No</v>
      </c>
      <c r="CW159" t="str">
        <f t="shared" si="270"/>
        <v>No</v>
      </c>
      <c r="CX159" t="str">
        <f t="shared" si="271"/>
        <v>No</v>
      </c>
      <c r="CY159" t="str">
        <f t="shared" si="272"/>
        <v>No</v>
      </c>
      <c r="CZ159" t="str">
        <f t="shared" si="273"/>
        <v>No</v>
      </c>
      <c r="DA159" t="str">
        <f t="shared" si="274"/>
        <v>No</v>
      </c>
      <c r="DB159" t="str">
        <f t="shared" si="275"/>
        <v>No</v>
      </c>
      <c r="DC159" t="str">
        <f t="shared" si="276"/>
        <v>No</v>
      </c>
      <c r="DD159" t="str">
        <f t="shared" si="277"/>
        <v>No</v>
      </c>
      <c r="DE159" t="str">
        <f t="shared" si="278"/>
        <v>No</v>
      </c>
      <c r="DF159" t="str">
        <f t="shared" si="279"/>
        <v>No</v>
      </c>
      <c r="DG159" t="str">
        <f t="shared" si="280"/>
        <v>No</v>
      </c>
      <c r="DH159" t="str">
        <f t="shared" si="281"/>
        <v>No</v>
      </c>
      <c r="DI159" t="str">
        <f t="shared" si="282"/>
        <v>No</v>
      </c>
    </row>
    <row r="160" spans="1:113" x14ac:dyDescent="0.25">
      <c r="M160" s="109" t="e">
        <f t="shared" si="284"/>
        <v>#N/A</v>
      </c>
      <c r="N160" s="109" t="s">
        <v>470</v>
      </c>
    </row>
    <row r="161" spans="13:30" x14ac:dyDescent="0.25">
      <c r="M161" s="109" t="e">
        <f t="shared" si="284"/>
        <v>#N/A</v>
      </c>
      <c r="N161" s="109" t="s">
        <v>470</v>
      </c>
    </row>
    <row r="162" spans="13:30" x14ac:dyDescent="0.25">
      <c r="M162" s="109" t="e">
        <f t="shared" si="284"/>
        <v>#N/A</v>
      </c>
      <c r="N162" s="109" t="s">
        <v>470</v>
      </c>
    </row>
    <row r="163" spans="13:30" x14ac:dyDescent="0.25">
      <c r="M163" s="109" t="e">
        <f t="shared" si="284"/>
        <v>#N/A</v>
      </c>
      <c r="N163" s="109" t="s">
        <v>470</v>
      </c>
    </row>
    <row r="164" spans="13:30" x14ac:dyDescent="0.25">
      <c r="M164" s="109" t="e">
        <f t="shared" si="284"/>
        <v>#N/A</v>
      </c>
      <c r="N164" s="109" t="s">
        <v>470</v>
      </c>
    </row>
    <row r="165" spans="13:30" x14ac:dyDescent="0.25">
      <c r="M165" s="109" t="e">
        <f t="shared" si="284"/>
        <v>#N/A</v>
      </c>
      <c r="N165" s="109" t="s">
        <v>470</v>
      </c>
    </row>
    <row r="166" spans="13:30" x14ac:dyDescent="0.25">
      <c r="M166" s="109" t="e">
        <f t="shared" si="284"/>
        <v>#N/A</v>
      </c>
      <c r="N166" s="109" t="s">
        <v>470</v>
      </c>
    </row>
    <row r="167" spans="13:30" x14ac:dyDescent="0.25">
      <c r="M167" s="109" t="e">
        <f t="shared" si="284"/>
        <v>#N/A</v>
      </c>
      <c r="N167" s="109" t="s">
        <v>470</v>
      </c>
    </row>
    <row r="168" spans="13:30" x14ac:dyDescent="0.25">
      <c r="M168" s="109" t="e">
        <f t="shared" si="284"/>
        <v>#N/A</v>
      </c>
      <c r="N168" s="109" t="s">
        <v>470</v>
      </c>
    </row>
    <row r="169" spans="13:30" x14ac:dyDescent="0.25">
      <c r="M169" s="109" t="e">
        <f t="shared" si="284"/>
        <v>#N/A</v>
      </c>
      <c r="N169" s="109" t="s">
        <v>470</v>
      </c>
    </row>
    <row r="170" spans="13:30" x14ac:dyDescent="0.25">
      <c r="O170" s="113" t="s">
        <v>452</v>
      </c>
      <c r="P170" s="113"/>
      <c r="Q170" s="113"/>
      <c r="R170" s="113"/>
      <c r="S170" s="113"/>
      <c r="T170" s="113" t="s">
        <v>456</v>
      </c>
      <c r="U170" s="113"/>
      <c r="V170" s="113"/>
      <c r="W170" s="113" t="s">
        <v>460</v>
      </c>
      <c r="X170" s="113"/>
      <c r="Y170" s="113"/>
    </row>
    <row r="171" spans="13:30" x14ac:dyDescent="0.25">
      <c r="O171" s="112" t="s">
        <v>457</v>
      </c>
      <c r="P171" s="112" t="s">
        <v>458</v>
      </c>
      <c r="Q171" s="112" t="s">
        <v>453</v>
      </c>
      <c r="R171" s="112" t="s">
        <v>454</v>
      </c>
      <c r="S171" s="112" t="s">
        <v>455</v>
      </c>
      <c r="T171" s="112" t="s">
        <v>457</v>
      </c>
      <c r="U171" s="112" t="s">
        <v>458</v>
      </c>
      <c r="V171" s="112" t="s">
        <v>459</v>
      </c>
      <c r="W171" s="112" t="s">
        <v>461</v>
      </c>
      <c r="X171" s="112" t="s">
        <v>462</v>
      </c>
      <c r="Y171" s="112" t="s">
        <v>463</v>
      </c>
    </row>
    <row r="172" spans="13:30" x14ac:dyDescent="0.25">
      <c r="O172" s="113">
        <f>COUNTIFS(O5:O169, "&lt;&gt;No", O5:O169, "&lt;&gt;")</f>
        <v>8</v>
      </c>
      <c r="P172" s="113">
        <f>COUNTIFS(P5:P169, "&lt;&gt;No", P5:P169, "&lt;&gt;")</f>
        <v>11</v>
      </c>
      <c r="Q172" s="113">
        <f>COUNTIFS(Q5:Q169, "&lt;&gt;No", Q5:Q169, "&lt;&gt;")</f>
        <v>8</v>
      </c>
      <c r="R172" s="113">
        <f>COUNTIFS(R5:R169, "&lt;&gt;No", R5:R169, "&lt;&gt;")</f>
        <v>4</v>
      </c>
      <c r="S172" s="113">
        <f>COUNTIFS(S5:S169, "&lt;&gt;No", S5:S169, "&lt;&gt;")</f>
        <v>4</v>
      </c>
      <c r="T172" s="113">
        <f>COUNTIFS(T5:T169, "&lt;&gt;No", T5:T169, "&lt;&gt;")</f>
        <v>18</v>
      </c>
      <c r="U172" s="113">
        <f>COUNTIFS(U5:U169, "&lt;&gt;No", U5:U169, "&lt;&gt;")</f>
        <v>18</v>
      </c>
      <c r="V172" s="113">
        <f>COUNTIFS(V5:V169, "&lt;&gt;No", V5:V169, "&lt;&gt;")</f>
        <v>7</v>
      </c>
      <c r="W172" s="113">
        <f>COUNTIFS(W5:W169, "&lt;&gt;No", W5:W169, "&lt;&gt;")</f>
        <v>10</v>
      </c>
      <c r="X172" s="113">
        <f>COUNTIFS(X5:X169, "&lt;&gt;No", X5:X169, "&lt;&gt;")</f>
        <v>20</v>
      </c>
      <c r="Y172" s="113">
        <f>COUNTIFS(Y5:Y169, "&lt;&gt;No", Y5:Y169, "&lt;&gt;")</f>
        <v>14</v>
      </c>
    </row>
    <row r="175" spans="13:30" x14ac:dyDescent="0.25">
      <c r="O175" t="s">
        <v>465</v>
      </c>
      <c r="P175" t="s">
        <v>7</v>
      </c>
      <c r="Q175" t="s">
        <v>464</v>
      </c>
      <c r="S175" t="s">
        <v>465</v>
      </c>
      <c r="T175" t="s">
        <v>466</v>
      </c>
      <c r="U175" t="s">
        <v>464</v>
      </c>
      <c r="W175" t="s">
        <v>7</v>
      </c>
      <c r="X175" t="s">
        <v>466</v>
      </c>
      <c r="Y175" t="s">
        <v>464</v>
      </c>
      <c r="AA175" t="s">
        <v>465</v>
      </c>
      <c r="AB175" t="s">
        <v>7</v>
      </c>
      <c r="AC175" t="s">
        <v>466</v>
      </c>
      <c r="AD175" t="s">
        <v>464</v>
      </c>
    </row>
    <row r="176" spans="13:30" x14ac:dyDescent="0.25">
      <c r="O176" s="112" t="s">
        <v>457</v>
      </c>
      <c r="P176" s="112" t="s">
        <v>457</v>
      </c>
      <c r="Q176" s="114">
        <f>COUNTIFS(Z5:Z159, "&lt;&gt;No", Z5:Z159, "&lt;&gt;")</f>
        <v>4</v>
      </c>
      <c r="S176" s="112" t="s">
        <v>457</v>
      </c>
      <c r="T176" s="115" t="s">
        <v>461</v>
      </c>
      <c r="U176" s="114">
        <f>COUNTIFS(AP5:AP159, "&lt;&gt;No", AP5:AP159, "&lt;&gt;")</f>
        <v>0</v>
      </c>
      <c r="W176" s="112" t="s">
        <v>457</v>
      </c>
      <c r="X176" s="115" t="s">
        <v>461</v>
      </c>
      <c r="Y176" s="114">
        <f>COUNTIFS(BF5:BF159, "&lt;&gt;No", BF5:BF159, "&lt;&gt;")</f>
        <v>0</v>
      </c>
      <c r="AA176" s="112" t="s">
        <v>457</v>
      </c>
      <c r="AB176" s="112" t="s">
        <v>457</v>
      </c>
      <c r="AC176" s="115" t="s">
        <v>461</v>
      </c>
      <c r="AD176" s="114">
        <f>COUNTIFS(BQ5:BQ159, "&lt;&gt;No", BQ5:BQ159, "&lt;&gt;")</f>
        <v>0</v>
      </c>
    </row>
    <row r="177" spans="15:30" x14ac:dyDescent="0.25">
      <c r="O177" s="112" t="s">
        <v>457</v>
      </c>
      <c r="P177" s="112" t="s">
        <v>458</v>
      </c>
      <c r="Q177" s="114">
        <f>COUNTIFS(AA5:AA159, "&lt;&gt;No", AA5:AA159, "&lt;&gt;")</f>
        <v>3</v>
      </c>
      <c r="S177" s="112" t="s">
        <v>457</v>
      </c>
      <c r="T177" s="115" t="s">
        <v>462</v>
      </c>
      <c r="U177" s="114">
        <f>COUNTIFS(AQ5:AQ159, "&lt;&gt;No", AQ5:AQ159, "&lt;&gt;")</f>
        <v>4</v>
      </c>
      <c r="W177" s="112" t="s">
        <v>457</v>
      </c>
      <c r="X177" s="115" t="s">
        <v>462</v>
      </c>
      <c r="Y177" s="114">
        <f>COUNTIFS(BG5:BG159, "&lt;&gt;No", BG5:BG159, "&lt;&gt;")</f>
        <v>7</v>
      </c>
      <c r="AA177" s="112" t="s">
        <v>457</v>
      </c>
      <c r="AB177" s="112" t="s">
        <v>457</v>
      </c>
      <c r="AC177" s="115" t="s">
        <v>462</v>
      </c>
      <c r="AD177" s="114">
        <f>COUNTIFS(BR5:BR159, "&lt;&gt;No", BR5:BR159, "&lt;&gt;")</f>
        <v>2</v>
      </c>
    </row>
    <row r="178" spans="15:30" x14ac:dyDescent="0.25">
      <c r="O178" s="112" t="s">
        <v>457</v>
      </c>
      <c r="P178" s="112" t="s">
        <v>459</v>
      </c>
      <c r="Q178" s="114">
        <f>COUNTIFS(AB5:AB159, "&lt;&gt;No", AB5:AB159, "&lt;&gt;")</f>
        <v>1</v>
      </c>
      <c r="S178" s="112" t="s">
        <v>457</v>
      </c>
      <c r="T178" s="115" t="s">
        <v>463</v>
      </c>
      <c r="U178" s="114">
        <f>COUNTIFS(AR5:AR159, "&lt;&gt;No", AR5:AR159, "&lt;&gt;")</f>
        <v>4</v>
      </c>
      <c r="W178" s="112" t="s">
        <v>457</v>
      </c>
      <c r="X178" s="115" t="s">
        <v>463</v>
      </c>
      <c r="Y178" s="114">
        <f>COUNTIFS(BH5:BH159, "&lt;&gt;No", BH5:BH159, "&lt;&gt;")</f>
        <v>4</v>
      </c>
      <c r="AA178" s="112" t="s">
        <v>457</v>
      </c>
      <c r="AB178" s="112" t="s">
        <v>457</v>
      </c>
      <c r="AC178" s="115" t="s">
        <v>463</v>
      </c>
      <c r="AD178" s="114">
        <f>COUNTIFS(BS5:BS159, "&lt;&gt;No", BS5:BS159, "&lt;&gt;")</f>
        <v>2</v>
      </c>
    </row>
    <row r="179" spans="15:30" x14ac:dyDescent="0.25">
      <c r="O179" s="112" t="s">
        <v>458</v>
      </c>
      <c r="P179" s="112" t="s">
        <v>457</v>
      </c>
      <c r="Q179" s="114">
        <f>COUNTIFS(AC5:AC159, "&lt;&gt;No", AC5:AC159, "&lt;&gt;")</f>
        <v>7</v>
      </c>
      <c r="S179" s="112" t="s">
        <v>458</v>
      </c>
      <c r="T179" s="115" t="s">
        <v>461</v>
      </c>
      <c r="U179" s="114">
        <f>COUNTIFS(AS5:AS159, "&lt;&gt;No", AS5:AS159, "&lt;&gt;")</f>
        <v>1</v>
      </c>
      <c r="W179" s="112" t="s">
        <v>458</v>
      </c>
      <c r="X179" s="115" t="s">
        <v>461</v>
      </c>
      <c r="Y179" s="114">
        <f>COUNTIFS(BI5:BI159, "&lt;&gt;No", BI5:BI159, "&lt;&gt;")</f>
        <v>2</v>
      </c>
      <c r="AA179" s="112" t="s">
        <v>457</v>
      </c>
      <c r="AB179" s="112" t="s">
        <v>458</v>
      </c>
      <c r="AC179" s="115" t="s">
        <v>461</v>
      </c>
      <c r="AD179" s="114">
        <f>COUNTIFS(BT5:BT159, "&lt;&gt;No", BT5:BT159, "&lt;&gt;")</f>
        <v>0</v>
      </c>
    </row>
    <row r="180" spans="15:30" x14ac:dyDescent="0.25">
      <c r="O180" s="112" t="s">
        <v>458</v>
      </c>
      <c r="P180" s="112" t="s">
        <v>458</v>
      </c>
      <c r="Q180" s="114">
        <f>COUNTIFS(AD5:AD159, "&lt;&gt;No", AD5:AD159, "&lt;&gt;")</f>
        <v>7</v>
      </c>
      <c r="S180" s="112" t="s">
        <v>458</v>
      </c>
      <c r="T180" s="115" t="s">
        <v>462</v>
      </c>
      <c r="U180" s="114">
        <f>COUNTIFS(AT5:AT159, "&lt;&gt;No", AT5:AT159, "&lt;&gt;")</f>
        <v>7</v>
      </c>
      <c r="W180" s="112" t="s">
        <v>458</v>
      </c>
      <c r="X180" s="115" t="s">
        <v>462</v>
      </c>
      <c r="Y180" s="114">
        <f>COUNTIFS(BJ5:BJ159, "&lt;&gt;No", BJ5:BJ159, "&lt;&gt;")</f>
        <v>10</v>
      </c>
      <c r="AA180" s="112" t="s">
        <v>457</v>
      </c>
      <c r="AB180" s="112" t="s">
        <v>458</v>
      </c>
      <c r="AC180" s="115" t="s">
        <v>462</v>
      </c>
      <c r="AD180" s="114">
        <f>COUNTIFS(BU5:BU159, "&lt;&gt;No", BU5:BU159, "&lt;&gt;")</f>
        <v>2</v>
      </c>
    </row>
    <row r="181" spans="15:30" x14ac:dyDescent="0.25">
      <c r="O181" s="112" t="s">
        <v>458</v>
      </c>
      <c r="P181" s="112" t="s">
        <v>459</v>
      </c>
      <c r="Q181" s="114">
        <f>COUNTIFS(AE5:AE159, "&lt;&gt;No", AE5:AE159, "&lt;&gt;")</f>
        <v>1</v>
      </c>
      <c r="S181" s="112" t="s">
        <v>458</v>
      </c>
      <c r="T181" s="115" t="s">
        <v>463</v>
      </c>
      <c r="U181" s="114">
        <f>COUNTIFS(AU5:AU159, "&lt;&gt;No", AU5:AU159, "&lt;&gt;")</f>
        <v>7</v>
      </c>
      <c r="W181" s="112" t="s">
        <v>458</v>
      </c>
      <c r="X181" s="115" t="s">
        <v>463</v>
      </c>
      <c r="Y181" s="114">
        <f>COUNTIFS(BK5:BK159, "&lt;&gt;No", BK5:BK159, "&lt;&gt;")</f>
        <v>6</v>
      </c>
      <c r="AA181" s="112" t="s">
        <v>457</v>
      </c>
      <c r="AB181" s="112" t="s">
        <v>458</v>
      </c>
      <c r="AC181" s="115" t="s">
        <v>463</v>
      </c>
      <c r="AD181" s="114">
        <f>COUNTIFS(BV5:BV159, "&lt;&gt;No", BV5:BV159, "&lt;&gt;")</f>
        <v>1</v>
      </c>
    </row>
    <row r="182" spans="15:30" x14ac:dyDescent="0.25">
      <c r="O182" s="112" t="s">
        <v>453</v>
      </c>
      <c r="P182" s="112" t="s">
        <v>457</v>
      </c>
      <c r="Q182" s="114">
        <f>COUNTIFS(AF5:AF159, "&lt;&gt;No", AF5:AF159, "&lt;&gt;")</f>
        <v>0</v>
      </c>
      <c r="S182" s="112" t="s">
        <v>453</v>
      </c>
      <c r="T182" s="115" t="s">
        <v>461</v>
      </c>
      <c r="U182" s="114">
        <f>COUNTIFS(AV5:AV159, "&lt;&gt;No", AV5:AV159, "&lt;&gt;")</f>
        <v>1</v>
      </c>
      <c r="W182" s="112" t="s">
        <v>459</v>
      </c>
      <c r="X182" s="115" t="s">
        <v>461</v>
      </c>
      <c r="Y182" s="114">
        <f>COUNTIFS(BL5:BL159, "&lt;&gt;No", BL5:BL159, "&lt;&gt;")</f>
        <v>0</v>
      </c>
      <c r="AA182" s="112" t="s">
        <v>457</v>
      </c>
      <c r="AB182" s="112" t="s">
        <v>459</v>
      </c>
      <c r="AC182" s="115" t="s">
        <v>461</v>
      </c>
      <c r="AD182" s="114">
        <f>COUNTIFS(BW5:BW159, "&lt;&gt;No", BW5:BW159, "&lt;&gt;")</f>
        <v>0</v>
      </c>
    </row>
    <row r="183" spans="15:30" x14ac:dyDescent="0.25">
      <c r="O183" s="112" t="s">
        <v>453</v>
      </c>
      <c r="P183" s="112" t="s">
        <v>458</v>
      </c>
      <c r="Q183" s="114">
        <f>COUNTIFS(AG5:AG159, "&lt;&gt;No", AG5:AG159, "&lt;&gt;")</f>
        <v>7</v>
      </c>
      <c r="S183" s="112" t="s">
        <v>453</v>
      </c>
      <c r="T183" s="115" t="s">
        <v>462</v>
      </c>
      <c r="U183" s="114">
        <f>COUNTIFS(AW5:AW159, "&lt;&gt;No", AW5:AW159, "&lt;&gt;")</f>
        <v>5</v>
      </c>
      <c r="W183" s="112" t="s">
        <v>459</v>
      </c>
      <c r="X183" s="115" t="s">
        <v>462</v>
      </c>
      <c r="Y183" s="114">
        <f>COUNTIFS(BM5:BM159, "&lt;&gt;No", BM5:BM159, "&lt;&gt;")</f>
        <v>3</v>
      </c>
      <c r="AA183" s="112" t="s">
        <v>457</v>
      </c>
      <c r="AB183" s="112" t="s">
        <v>459</v>
      </c>
      <c r="AC183" s="115" t="s">
        <v>462</v>
      </c>
      <c r="AD183" s="114">
        <f>COUNTIFS(BX5:BX159, "&lt;&gt;No", BX5:BX159, "&lt;&gt;")</f>
        <v>0</v>
      </c>
    </row>
    <row r="184" spans="15:30" x14ac:dyDescent="0.25">
      <c r="O184" s="112" t="s">
        <v>453</v>
      </c>
      <c r="P184" s="112" t="s">
        <v>459</v>
      </c>
      <c r="Q184" s="114">
        <f>COUNTIFS(AH5:AH159, "&lt;&gt;No", AH5:AH159, "&lt;&gt;")</f>
        <v>2</v>
      </c>
      <c r="S184" s="112" t="s">
        <v>453</v>
      </c>
      <c r="T184" s="115" t="s">
        <v>463</v>
      </c>
      <c r="U184" s="114">
        <f>COUNTIFS(AX5:AX159, "&lt;&gt;No", AX5:AX159, "&lt;&gt;")</f>
        <v>3</v>
      </c>
      <c r="W184" s="112" t="s">
        <v>459</v>
      </c>
      <c r="X184" s="115" t="s">
        <v>463</v>
      </c>
      <c r="Y184" s="114">
        <f>COUNTIFS(BN5:BN159, "&lt;&gt;No", BN5:BN159, "&lt;&gt;")</f>
        <v>4</v>
      </c>
      <c r="AA184" s="112" t="s">
        <v>457</v>
      </c>
      <c r="AB184" s="112" t="s">
        <v>459</v>
      </c>
      <c r="AC184" s="115" t="s">
        <v>463</v>
      </c>
      <c r="AD184" s="114">
        <f>COUNTIFS(BY5:BY159, "&lt;&gt;No", BY5:BY159, "&lt;&gt;")</f>
        <v>1</v>
      </c>
    </row>
    <row r="185" spans="15:30" x14ac:dyDescent="0.25">
      <c r="O185" s="112" t="s">
        <v>454</v>
      </c>
      <c r="P185" s="112" t="s">
        <v>457</v>
      </c>
      <c r="Q185" s="114">
        <f>COUNTIFS(AI5:AI159, "&lt;&gt;No", AI5:AI159, "&lt;&gt;")</f>
        <v>0</v>
      </c>
      <c r="S185" s="112" t="s">
        <v>454</v>
      </c>
      <c r="T185" s="115" t="s">
        <v>461</v>
      </c>
      <c r="U185" s="114">
        <f>COUNTIFS(AY5:AY159, "&lt;&gt;No", AY5:AY159, "&lt;&gt;")</f>
        <v>0</v>
      </c>
      <c r="W185" s="116"/>
      <c r="X185" s="117"/>
      <c r="Y185" s="118"/>
      <c r="AA185" s="112" t="s">
        <v>458</v>
      </c>
      <c r="AB185" s="112" t="s">
        <v>457</v>
      </c>
      <c r="AC185" s="115" t="s">
        <v>461</v>
      </c>
      <c r="AD185" s="114">
        <f>COUNTIFS(BZ5:BZ159, "&lt;&gt;No", BZ5:BZ159, "&lt;&gt;")</f>
        <v>0</v>
      </c>
    </row>
    <row r="186" spans="15:30" x14ac:dyDescent="0.25">
      <c r="O186" s="112" t="s">
        <v>454</v>
      </c>
      <c r="P186" s="112" t="s">
        <v>458</v>
      </c>
      <c r="Q186" s="114">
        <f>COUNTIFS(AJ5:AJ159, "&lt;&gt;No", AJ5:AJ159, "&lt;&gt;")</f>
        <v>2</v>
      </c>
      <c r="S186" s="112" t="s">
        <v>454</v>
      </c>
      <c r="T186" s="115" t="s">
        <v>462</v>
      </c>
      <c r="U186" s="114">
        <f>COUNTIFS(AZ5:AZ159, "&lt;&gt;No", AZ5:AZ159, "&lt;&gt;")</f>
        <v>3</v>
      </c>
      <c r="W186" s="116"/>
      <c r="X186" s="117"/>
      <c r="Y186" s="118"/>
      <c r="AA186" s="112" t="s">
        <v>458</v>
      </c>
      <c r="AB186" s="112" t="s">
        <v>457</v>
      </c>
      <c r="AC186" s="115" t="s">
        <v>462</v>
      </c>
      <c r="AD186" s="114">
        <f>COUNTIFS(CA5:CA159, "&lt;&gt;No", CA5:CA159, "&lt;&gt;")</f>
        <v>4</v>
      </c>
    </row>
    <row r="187" spans="15:30" x14ac:dyDescent="0.25">
      <c r="O187" s="112" t="s">
        <v>454</v>
      </c>
      <c r="P187" s="112" t="s">
        <v>459</v>
      </c>
      <c r="Q187" s="114">
        <f>COUNTIFS(AK5:AK159, "&lt;&gt;No", AK5:AK159, "&lt;&gt;")</f>
        <v>2</v>
      </c>
      <c r="S187" s="112" t="s">
        <v>454</v>
      </c>
      <c r="T187" s="115" t="s">
        <v>463</v>
      </c>
      <c r="U187" s="114">
        <f>COUNTIFS(BA5:BA159, "&lt;&gt;No", BA5:BA159, "&lt;&gt;")</f>
        <v>1</v>
      </c>
      <c r="W187" s="116"/>
      <c r="X187" s="117"/>
      <c r="Y187" s="118"/>
      <c r="AA187" s="112" t="s">
        <v>458</v>
      </c>
      <c r="AB187" s="112" t="s">
        <v>457</v>
      </c>
      <c r="AC187" s="115" t="s">
        <v>463</v>
      </c>
      <c r="AD187" s="114">
        <f>COUNTIFS(CB5:CB159, "&lt;&gt;No", CB5:CB159, "&lt;&gt;")</f>
        <v>1</v>
      </c>
    </row>
    <row r="188" spans="15:30" x14ac:dyDescent="0.25">
      <c r="O188" s="112" t="s">
        <v>455</v>
      </c>
      <c r="P188" s="112" t="s">
        <v>457</v>
      </c>
      <c r="Q188" s="114">
        <f>COUNTIFS(AL5:AL159, "&lt;&gt;No", AL5:AL159, "&lt;&gt;")</f>
        <v>0</v>
      </c>
      <c r="S188" s="112" t="s">
        <v>455</v>
      </c>
      <c r="T188" s="115" t="s">
        <v>461</v>
      </c>
      <c r="U188" s="114">
        <f>COUNTIFS(BB5:BB159, "&lt;&gt;No", BB5:BB159, "&lt;&gt;")</f>
        <v>0</v>
      </c>
      <c r="W188" s="116"/>
      <c r="X188" s="117"/>
      <c r="Y188" s="118"/>
      <c r="AA188" s="112" t="s">
        <v>458</v>
      </c>
      <c r="AB188" s="112" t="s">
        <v>458</v>
      </c>
      <c r="AC188" s="115" t="s">
        <v>461</v>
      </c>
      <c r="AD188" s="114">
        <f>COUNTIFS(CC5:CC159, "&lt;&gt;No", CC5:CC159, "&lt;&gt;")</f>
        <v>1</v>
      </c>
    </row>
    <row r="189" spans="15:30" x14ac:dyDescent="0.25">
      <c r="O189" s="112" t="s">
        <v>455</v>
      </c>
      <c r="P189" s="112" t="s">
        <v>458</v>
      </c>
      <c r="Q189" s="114">
        <f>COUNTIFS(AM5:AM159, "&lt;&gt;No", AM5:AM159, "&lt;&gt;")</f>
        <v>1</v>
      </c>
      <c r="S189" s="112" t="s">
        <v>455</v>
      </c>
      <c r="T189" s="115" t="s">
        <v>462</v>
      </c>
      <c r="U189" s="114">
        <f>COUNTIFS(BC5:BC159, "&lt;&gt;No", BC5:BC159, "&lt;&gt;")</f>
        <v>2</v>
      </c>
      <c r="W189" s="116"/>
      <c r="X189" s="117"/>
      <c r="Y189" s="118"/>
      <c r="AA189" s="112" t="s">
        <v>458</v>
      </c>
      <c r="AB189" s="112" t="s">
        <v>458</v>
      </c>
      <c r="AC189" s="115" t="s">
        <v>462</v>
      </c>
      <c r="AD189" s="114">
        <f>COUNTIFS(CD5:CD159, "&lt;&gt;No", CD5:CD159, "&lt;&gt;")</f>
        <v>2</v>
      </c>
    </row>
    <row r="190" spans="15:30" x14ac:dyDescent="0.25">
      <c r="O190" s="112" t="s">
        <v>455</v>
      </c>
      <c r="P190" s="112" t="s">
        <v>459</v>
      </c>
      <c r="Q190" s="114">
        <f>COUNTIFS(AN5:AN159, "&lt;&gt;No", AN5:AN159, "&lt;&gt;")</f>
        <v>2</v>
      </c>
      <c r="S190" s="112" t="s">
        <v>455</v>
      </c>
      <c r="T190" s="115" t="s">
        <v>463</v>
      </c>
      <c r="U190" s="114">
        <f>COUNTIFS(BD5:BD159, "&lt;&gt;No", BD5:BD159, "&lt;&gt;")</f>
        <v>1</v>
      </c>
      <c r="W190" s="116"/>
      <c r="X190" s="117"/>
      <c r="Y190" s="118"/>
      <c r="AA190" s="112" t="s">
        <v>458</v>
      </c>
      <c r="AB190" s="112" t="s">
        <v>458</v>
      </c>
      <c r="AC190" s="115" t="s">
        <v>463</v>
      </c>
      <c r="AD190" s="114">
        <f>COUNTIFS(CE5:CE159, "&lt;&gt;No", CE5:CE159, "&lt;&gt;")</f>
        <v>3</v>
      </c>
    </row>
    <row r="191" spans="15:30" x14ac:dyDescent="0.25">
      <c r="AA191" s="112" t="s">
        <v>458</v>
      </c>
      <c r="AB191" s="112" t="s">
        <v>459</v>
      </c>
      <c r="AC191" s="115" t="s">
        <v>461</v>
      </c>
      <c r="AD191" s="114">
        <f>COUNTIFS(CF5:CF159, "&lt;&gt;No", CF5:CF159, "&lt;&gt;")</f>
        <v>0</v>
      </c>
    </row>
    <row r="192" spans="15:30" x14ac:dyDescent="0.25">
      <c r="T192" s="111"/>
      <c r="U192" s="111"/>
      <c r="V192" s="111"/>
      <c r="AA192" s="112" t="s">
        <v>458</v>
      </c>
      <c r="AB192" s="112" t="s">
        <v>459</v>
      </c>
      <c r="AC192" s="115" t="s">
        <v>462</v>
      </c>
      <c r="AD192" s="114">
        <f>COUNTIFS(CG5:CG159, "&lt;&gt;No", CG5:CG159, "&lt;&gt;")</f>
        <v>0</v>
      </c>
    </row>
    <row r="193" spans="27:30" x14ac:dyDescent="0.25">
      <c r="AA193" s="112" t="s">
        <v>458</v>
      </c>
      <c r="AB193" s="112" t="s">
        <v>459</v>
      </c>
      <c r="AC193" s="115" t="s">
        <v>463</v>
      </c>
      <c r="AD193" s="114">
        <f>COUNTIFS(CH5:CH159, "&lt;&gt;No", CH5:CH159, "&lt;&gt;")</f>
        <v>0</v>
      </c>
    </row>
    <row r="194" spans="27:30" x14ac:dyDescent="0.25">
      <c r="AA194" s="112" t="s">
        <v>453</v>
      </c>
      <c r="AB194" s="112" t="s">
        <v>457</v>
      </c>
      <c r="AC194" s="115" t="s">
        <v>461</v>
      </c>
      <c r="AD194" s="114">
        <f>COUNTIFS(CI5:CI159, "&lt;&gt;No", CI5:CI159, "&lt;&gt;")</f>
        <v>0</v>
      </c>
    </row>
    <row r="195" spans="27:30" x14ac:dyDescent="0.25">
      <c r="AA195" s="112" t="s">
        <v>453</v>
      </c>
      <c r="AB195" s="112" t="s">
        <v>457</v>
      </c>
      <c r="AC195" s="115" t="s">
        <v>462</v>
      </c>
      <c r="AD195" s="114">
        <f>COUNTIFS(CJ5:CJ159, "&lt;&gt;No", CJ5:CJ159, "&lt;&gt;")</f>
        <v>0</v>
      </c>
    </row>
    <row r="196" spans="27:30" x14ac:dyDescent="0.25">
      <c r="AA196" s="112" t="s">
        <v>453</v>
      </c>
      <c r="AB196" s="112" t="s">
        <v>457</v>
      </c>
      <c r="AC196" s="115" t="s">
        <v>463</v>
      </c>
      <c r="AD196" s="114">
        <f>COUNTIFS(CK5:CK159, "&lt;&gt;No", CK5:CK159, "&lt;&gt;")</f>
        <v>0</v>
      </c>
    </row>
    <row r="197" spans="27:30" x14ac:dyDescent="0.25">
      <c r="AA197" s="112" t="s">
        <v>453</v>
      </c>
      <c r="AB197" s="112" t="s">
        <v>458</v>
      </c>
      <c r="AC197" s="115" t="s">
        <v>461</v>
      </c>
      <c r="AD197" s="114">
        <f>COUNTIFS(CL5:CL159, "&lt;&gt;No", CL5:CL159, "&lt;&gt;")</f>
        <v>1</v>
      </c>
    </row>
    <row r="198" spans="27:30" x14ac:dyDescent="0.25">
      <c r="AA198" s="112" t="s">
        <v>453</v>
      </c>
      <c r="AB198" s="112" t="s">
        <v>458</v>
      </c>
      <c r="AC198" s="115" t="s">
        <v>462</v>
      </c>
      <c r="AD198" s="114">
        <f>COUNTIFS(CM5:CM159, "&lt;&gt;No", CM5:CM159, "&lt;&gt;")</f>
        <v>4</v>
      </c>
    </row>
    <row r="199" spans="27:30" x14ac:dyDescent="0.25">
      <c r="AA199" s="112" t="s">
        <v>453</v>
      </c>
      <c r="AB199" s="112" t="s">
        <v>458</v>
      </c>
      <c r="AC199" s="115" t="s">
        <v>463</v>
      </c>
      <c r="AD199" s="114">
        <f>COUNTIFS(CN5:CN159, "&lt;&gt;No", CN5:CN159, "&lt;&gt;")</f>
        <v>1</v>
      </c>
    </row>
    <row r="200" spans="27:30" x14ac:dyDescent="0.25">
      <c r="AA200" s="112" t="s">
        <v>453</v>
      </c>
      <c r="AB200" s="112" t="s">
        <v>459</v>
      </c>
      <c r="AC200" s="115" t="s">
        <v>461</v>
      </c>
      <c r="AD200" s="114">
        <f>COUNTIFS(CO5:CO159, "&lt;&gt;No", CO5:CO159, "&lt;&gt;")</f>
        <v>0</v>
      </c>
    </row>
    <row r="201" spans="27:30" x14ac:dyDescent="0.25">
      <c r="AA201" s="112" t="s">
        <v>453</v>
      </c>
      <c r="AB201" s="112" t="s">
        <v>459</v>
      </c>
      <c r="AC201" s="115" t="s">
        <v>462</v>
      </c>
      <c r="AD201" s="114">
        <f>COUNTIFS(CP5:CP159, "&lt;&gt;No", CP5:CP159, "&lt;&gt;")</f>
        <v>1</v>
      </c>
    </row>
    <row r="202" spans="27:30" x14ac:dyDescent="0.25">
      <c r="AA202" s="112" t="s">
        <v>453</v>
      </c>
      <c r="AB202" s="112" t="s">
        <v>459</v>
      </c>
      <c r="AC202" s="115" t="s">
        <v>463</v>
      </c>
      <c r="AD202" s="114">
        <f>COUNTIFS(CQ5:CQ159, "&lt;&gt;No", CQ5:CQ159, "&lt;&gt;")</f>
        <v>1</v>
      </c>
    </row>
    <row r="203" spans="27:30" x14ac:dyDescent="0.25">
      <c r="AA203" s="112" t="s">
        <v>454</v>
      </c>
      <c r="AB203" s="112" t="s">
        <v>457</v>
      </c>
      <c r="AC203" s="115" t="s">
        <v>461</v>
      </c>
      <c r="AD203" s="114">
        <f>COUNTIFS(CR5:CR159, "&lt;&gt;No", CR5:CR159, "&lt;&gt;")</f>
        <v>0</v>
      </c>
    </row>
    <row r="204" spans="27:30" x14ac:dyDescent="0.25">
      <c r="AA204" s="112" t="s">
        <v>454</v>
      </c>
      <c r="AB204" s="112" t="s">
        <v>457</v>
      </c>
      <c r="AC204" s="115" t="s">
        <v>462</v>
      </c>
      <c r="AD204" s="114">
        <f>COUNTIFS(CS5:CS159, "&lt;&gt;No", CS5:CS159, "&lt;&gt;")</f>
        <v>0</v>
      </c>
    </row>
    <row r="205" spans="27:30" x14ac:dyDescent="0.25">
      <c r="AA205" s="112" t="s">
        <v>454</v>
      </c>
      <c r="AB205" s="112" t="s">
        <v>457</v>
      </c>
      <c r="AC205" s="115" t="s">
        <v>463</v>
      </c>
      <c r="AD205" s="114">
        <f>COUNTIFS(CT5:CT159, "&lt;&gt;No", CT5:CT159, "&lt;&gt;")</f>
        <v>0</v>
      </c>
    </row>
    <row r="206" spans="27:30" x14ac:dyDescent="0.25">
      <c r="AA206" s="112" t="s">
        <v>454</v>
      </c>
      <c r="AB206" s="112" t="s">
        <v>458</v>
      </c>
      <c r="AC206" s="115" t="s">
        <v>461</v>
      </c>
      <c r="AD206" s="114">
        <f>COUNTIFS(CU5:CU159, "&lt;&gt;No", CU5:CU159, "&lt;&gt;")</f>
        <v>0</v>
      </c>
    </row>
    <row r="207" spans="27:30" x14ac:dyDescent="0.25">
      <c r="AA207" s="112" t="s">
        <v>454</v>
      </c>
      <c r="AB207" s="112" t="s">
        <v>458</v>
      </c>
      <c r="AC207" s="115" t="s">
        <v>462</v>
      </c>
      <c r="AD207" s="114">
        <f>COUNTIFS(CV5:CV159, "&lt;&gt;No", CV5:CV159, "&lt;&gt;")</f>
        <v>2</v>
      </c>
    </row>
    <row r="208" spans="27:30" x14ac:dyDescent="0.25">
      <c r="AA208" s="112" t="s">
        <v>454</v>
      </c>
      <c r="AB208" s="112" t="s">
        <v>458</v>
      </c>
      <c r="AC208" s="115" t="s">
        <v>463</v>
      </c>
      <c r="AD208" s="114">
        <f>COUNTIFS(CW5:CW159, "&lt;&gt;No", CW5:CW159, "&lt;&gt;")</f>
        <v>0</v>
      </c>
    </row>
    <row r="209" spans="27:30" x14ac:dyDescent="0.25">
      <c r="AA209" s="112" t="s">
        <v>454</v>
      </c>
      <c r="AB209" s="112" t="s">
        <v>459</v>
      </c>
      <c r="AC209" s="115" t="s">
        <v>461</v>
      </c>
      <c r="AD209" s="114">
        <f>COUNTIFS(CX5:CX159, "&lt;&gt;No", CX5:CX159, "&lt;&gt;")</f>
        <v>0</v>
      </c>
    </row>
    <row r="210" spans="27:30" x14ac:dyDescent="0.25">
      <c r="AA210" s="112" t="s">
        <v>454</v>
      </c>
      <c r="AB210" s="112" t="s">
        <v>459</v>
      </c>
      <c r="AC210" s="115" t="s">
        <v>462</v>
      </c>
      <c r="AD210" s="114">
        <f>COUNTIFS(CY5:CY159, "&lt;&gt;No", CY5:CY159, "&lt;&gt;")</f>
        <v>1</v>
      </c>
    </row>
    <row r="211" spans="27:30" x14ac:dyDescent="0.25">
      <c r="AA211" s="112" t="s">
        <v>454</v>
      </c>
      <c r="AB211" s="112" t="s">
        <v>459</v>
      </c>
      <c r="AC211" s="115" t="s">
        <v>463</v>
      </c>
      <c r="AD211" s="114">
        <f>COUNTIFS(CZ5:CZ159, "&lt;&gt;No", CZ5:CZ159, "&lt;&gt;")</f>
        <v>1</v>
      </c>
    </row>
    <row r="212" spans="27:30" x14ac:dyDescent="0.25">
      <c r="AA212" s="112" t="s">
        <v>455</v>
      </c>
      <c r="AB212" s="112" t="s">
        <v>457</v>
      </c>
      <c r="AC212" s="115" t="s">
        <v>461</v>
      </c>
      <c r="AD212" s="114">
        <f>COUNTIFS(DA5:DA159, "&lt;&gt;No", DA5:DA159, "&lt;&gt;")</f>
        <v>0</v>
      </c>
    </row>
    <row r="213" spans="27:30" x14ac:dyDescent="0.25">
      <c r="AA213" s="112" t="s">
        <v>455</v>
      </c>
      <c r="AB213" s="112" t="s">
        <v>457</v>
      </c>
      <c r="AC213" s="115" t="s">
        <v>462</v>
      </c>
      <c r="AD213" s="114">
        <f>COUNTIFS(DB5:DB159, "&lt;&gt;No", DB5:DB159, "&lt;&gt;")</f>
        <v>0</v>
      </c>
    </row>
    <row r="214" spans="27:30" x14ac:dyDescent="0.25">
      <c r="AA214" s="112" t="s">
        <v>455</v>
      </c>
      <c r="AB214" s="112" t="s">
        <v>457</v>
      </c>
      <c r="AC214" s="115" t="s">
        <v>463</v>
      </c>
      <c r="AD214" s="114">
        <f>COUNTIFS(DC5:DC159, "&lt;&gt;No", DC5:DC159, "&lt;&gt;")</f>
        <v>0</v>
      </c>
    </row>
    <row r="215" spans="27:30" x14ac:dyDescent="0.25">
      <c r="AA215" s="112" t="s">
        <v>455</v>
      </c>
      <c r="AB215" s="112" t="s">
        <v>458</v>
      </c>
      <c r="AC215" s="115" t="s">
        <v>461</v>
      </c>
      <c r="AD215" s="114">
        <f>COUNTIFS(DD5:DD159, "&lt;&gt;No", DD5:DD159, "&lt;&gt;")</f>
        <v>0</v>
      </c>
    </row>
    <row r="216" spans="27:30" x14ac:dyDescent="0.25">
      <c r="AA216" s="112" t="s">
        <v>455</v>
      </c>
      <c r="AB216" s="112" t="s">
        <v>458</v>
      </c>
      <c r="AC216" s="115" t="s">
        <v>462</v>
      </c>
      <c r="AD216" s="114">
        <f>COUNTIFS(DE5:DE159, "&lt;&gt;No", DE5:DE159, "&lt;&gt;")</f>
        <v>1</v>
      </c>
    </row>
    <row r="217" spans="27:30" x14ac:dyDescent="0.25">
      <c r="AA217" s="112" t="s">
        <v>455</v>
      </c>
      <c r="AB217" s="112" t="s">
        <v>458</v>
      </c>
      <c r="AC217" s="115" t="s">
        <v>463</v>
      </c>
      <c r="AD217" s="114">
        <f>COUNTIFS(DF5:DF159, "&lt;&gt;No", DF5:DF159, "&lt;&gt;")</f>
        <v>0</v>
      </c>
    </row>
    <row r="218" spans="27:30" x14ac:dyDescent="0.25">
      <c r="AA218" s="112" t="s">
        <v>455</v>
      </c>
      <c r="AB218" s="112" t="s">
        <v>459</v>
      </c>
      <c r="AC218" s="115" t="s">
        <v>461</v>
      </c>
      <c r="AD218" s="114">
        <f>COUNTIFS(DG5:DG159, "&lt;&gt;No", DG5:DG159, "&lt;&gt;")</f>
        <v>0</v>
      </c>
    </row>
    <row r="219" spans="27:30" x14ac:dyDescent="0.25">
      <c r="AA219" s="112" t="s">
        <v>455</v>
      </c>
      <c r="AB219" s="112" t="s">
        <v>459</v>
      </c>
      <c r="AC219" s="115" t="s">
        <v>462</v>
      </c>
      <c r="AD219" s="114">
        <f>COUNTIFS(DH5:DH159, "&lt;&gt;No", DH5:DH159, "&lt;&gt;")</f>
        <v>1</v>
      </c>
    </row>
    <row r="220" spans="27:30" x14ac:dyDescent="0.25">
      <c r="AA220" s="112" t="s">
        <v>455</v>
      </c>
      <c r="AB220" s="112" t="s">
        <v>459</v>
      </c>
      <c r="AC220" s="115" t="s">
        <v>463</v>
      </c>
      <c r="AD220" s="114">
        <f>COUNTIFS(DI5:DI159, "&lt;&gt;No", DI5:DI159, "&lt;&gt;")</f>
        <v>1</v>
      </c>
    </row>
  </sheetData>
  <phoneticPr fontId="2" type="noConversion"/>
  <pageMargins left="0.7" right="0.7" top="0.75" bottom="0.75" header="0.3" footer="0.3"/>
  <ignoredErrors>
    <ignoredError sqref="Q4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 Wini</dc:creator>
  <cp:lastModifiedBy>Lo Wini</cp:lastModifiedBy>
  <dcterms:created xsi:type="dcterms:W3CDTF">2026-09-24T15:56:08Z</dcterms:created>
  <dcterms:modified xsi:type="dcterms:W3CDTF">2026-09-26T00:20:41Z</dcterms:modified>
</cp:coreProperties>
</file>